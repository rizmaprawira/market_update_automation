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4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7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8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9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rizzie/Downloads/"/>
    </mc:Choice>
  </mc:AlternateContent>
  <xr:revisionPtr revIDLastSave="0" documentId="13_ncr:1_{5E92BC46-6F47-8F44-BC17-0632A8C012FC}" xr6:coauthVersionLast="47" xr6:coauthVersionMax="47" xr10:uidLastSave="{00000000-0000-0000-0000-000000000000}"/>
  <bookViews>
    <workbookView xWindow="0" yWindow="500" windowWidth="24440" windowHeight="18000" activeTab="1" xr2:uid="{FC27835C-6508-4A7D-8248-A7824DBD7C2A}"/>
  </bookViews>
  <sheets>
    <sheet name="MU Jan26 try avg v2" sheetId="10" r:id="rId1"/>
    <sheet name="MU Jan26 try avg" sheetId="8" r:id="rId2"/>
    <sheet name="Reas" sheetId="1" r:id="rId3"/>
    <sheet name="RU" sheetId="3" r:id="rId4"/>
    <sheet name="RJ" sheetId="5" r:id="rId5"/>
    <sheet name="Makro Ekonomi" sheetId="2" r:id="rId6"/>
    <sheet name="jiwa nov" sheetId="4" r:id="rId7"/>
    <sheet name="MU Feb26" sheetId="13" r:id="rId8"/>
    <sheet name="MU Jan26 (2)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14" i="10"/>
  <c r="B25" i="10"/>
  <c r="B36" i="10"/>
  <c r="B47" i="10"/>
  <c r="B66" i="10"/>
  <c r="B78" i="10"/>
  <c r="C66" i="10"/>
  <c r="O119" i="13"/>
  <c r="B3" i="13"/>
  <c r="C3" i="13"/>
  <c r="B14" i="13"/>
  <c r="C14" i="13"/>
  <c r="B25" i="13"/>
  <c r="C25" i="13"/>
  <c r="B36" i="13"/>
  <c r="C36" i="13"/>
  <c r="B47" i="13"/>
  <c r="C47" i="13"/>
  <c r="B67" i="13"/>
  <c r="C67" i="13"/>
  <c r="B78" i="13"/>
  <c r="C78" i="13"/>
  <c r="B81" i="13"/>
  <c r="C81" i="13"/>
  <c r="O114" i="10"/>
  <c r="C82" i="10"/>
  <c r="B82" i="10"/>
  <c r="C78" i="10"/>
  <c r="C47" i="10"/>
  <c r="C36" i="10"/>
  <c r="C25" i="10"/>
  <c r="C14" i="10"/>
  <c r="C3" i="10"/>
  <c r="C74" i="8" l="1"/>
  <c r="B74" i="8"/>
  <c r="C64" i="8"/>
  <c r="B64" i="8"/>
  <c r="C54" i="8"/>
  <c r="B54" i="8"/>
  <c r="C44" i="8"/>
  <c r="B44" i="8"/>
  <c r="C34" i="8"/>
  <c r="B34" i="8"/>
  <c r="C23" i="8"/>
  <c r="B23" i="8"/>
  <c r="C13" i="8"/>
  <c r="B13" i="8"/>
  <c r="C3" i="8"/>
  <c r="B3" i="8"/>
  <c r="C124" i="3"/>
  <c r="B46" i="3"/>
  <c r="S124" i="3"/>
  <c r="T124" i="3"/>
  <c r="U124" i="3"/>
  <c r="V124" i="3"/>
  <c r="W124" i="3"/>
  <c r="X124" i="3"/>
  <c r="Y124" i="3"/>
  <c r="Z124" i="3"/>
  <c r="AA124" i="3"/>
  <c r="AB124" i="3"/>
  <c r="AC124" i="3"/>
  <c r="R124" i="3"/>
  <c r="D124" i="3"/>
  <c r="E124" i="3"/>
  <c r="F124" i="3"/>
  <c r="G124" i="3"/>
  <c r="H124" i="3"/>
  <c r="I124" i="3"/>
  <c r="J124" i="3"/>
  <c r="K124" i="3"/>
  <c r="L124" i="3"/>
  <c r="M124" i="3"/>
  <c r="B124" i="3"/>
  <c r="Q41" i="5"/>
  <c r="Q40" i="5"/>
  <c r="Q39" i="5"/>
  <c r="Q38" i="5"/>
  <c r="Q37" i="5"/>
  <c r="Q36" i="5"/>
  <c r="Q35" i="5"/>
  <c r="Q34" i="5"/>
  <c r="Q33" i="5"/>
  <c r="Q32" i="5"/>
  <c r="Q31" i="5"/>
  <c r="Q30" i="5"/>
  <c r="P32" i="5"/>
  <c r="P41" i="5"/>
  <c r="P40" i="5"/>
  <c r="P39" i="5"/>
  <c r="P38" i="5"/>
  <c r="P37" i="5"/>
  <c r="P36" i="5"/>
  <c r="P35" i="5"/>
  <c r="P34" i="5"/>
  <c r="P33" i="5"/>
  <c r="BS4" i="1"/>
  <c r="BS5" i="1"/>
  <c r="BS6" i="1"/>
  <c r="BS7" i="1"/>
  <c r="BS8" i="1"/>
  <c r="BS9" i="1"/>
  <c r="BS10" i="1"/>
  <c r="BS11" i="1"/>
  <c r="BS12" i="1"/>
  <c r="BS13" i="1"/>
  <c r="BS14" i="1"/>
  <c r="BS3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AX3" i="1"/>
  <c r="BH4" i="1"/>
  <c r="BH5" i="1"/>
  <c r="BH6" i="1"/>
  <c r="BH7" i="1"/>
  <c r="BH8" i="1"/>
  <c r="BH9" i="1"/>
  <c r="BH10" i="1"/>
  <c r="BH11" i="1"/>
  <c r="BH12" i="1"/>
  <c r="BH13" i="1"/>
  <c r="BH14" i="1"/>
  <c r="BH3" i="1"/>
  <c r="J3" i="1"/>
  <c r="J4" i="1"/>
  <c r="J5" i="1"/>
  <c r="J6" i="1"/>
  <c r="J7" i="1"/>
  <c r="J8" i="1"/>
  <c r="J9" i="1"/>
  <c r="J10" i="1"/>
  <c r="J11" i="1"/>
  <c r="J12" i="1"/>
  <c r="J13" i="1"/>
  <c r="J14" i="1"/>
  <c r="M15" i="1"/>
  <c r="T3" i="1"/>
  <c r="T15" i="1" s="1"/>
  <c r="AX4" i="1"/>
  <c r="AX5" i="1"/>
  <c r="AX6" i="1"/>
  <c r="AX7" i="1"/>
  <c r="AX8" i="1"/>
  <c r="AX9" i="1"/>
  <c r="AX10" i="1"/>
  <c r="AX11" i="1"/>
  <c r="AX12" i="1"/>
  <c r="AX13" i="1"/>
  <c r="AX14" i="1"/>
  <c r="AN14" i="1"/>
  <c r="AN16" i="1"/>
  <c r="AH16" i="1"/>
  <c r="AI16" i="1"/>
  <c r="AJ16" i="1"/>
  <c r="AK16" i="1"/>
  <c r="AL16" i="1"/>
  <c r="AM16" i="1"/>
  <c r="AG16" i="1"/>
  <c r="I11" i="3" l="1"/>
  <c r="B15" i="4" l="1"/>
  <c r="AG17" i="1"/>
  <c r="W15" i="1" l="1"/>
  <c r="Y15" i="1"/>
  <c r="Z15" i="1"/>
  <c r="AA15" i="1"/>
  <c r="AB15" i="1"/>
  <c r="AC15" i="1"/>
  <c r="AD17" i="1"/>
  <c r="T4" i="1"/>
  <c r="T5" i="1"/>
  <c r="T6" i="1"/>
  <c r="T7" i="1"/>
  <c r="T8" i="1"/>
  <c r="T9" i="1"/>
  <c r="T10" i="1"/>
  <c r="T11" i="1"/>
  <c r="T12" i="1"/>
  <c r="T13" i="1"/>
  <c r="T14" i="1"/>
  <c r="AD14" i="1"/>
  <c r="I47" i="1" l="1"/>
  <c r="J45" i="1"/>
  <c r="AC17" i="1"/>
  <c r="AN5" i="1"/>
  <c r="AN6" i="1"/>
  <c r="AN7" i="1"/>
  <c r="AN8" i="1"/>
  <c r="AN9" i="1"/>
  <c r="AN10" i="1"/>
  <c r="AN11" i="1"/>
  <c r="AN12" i="1"/>
  <c r="AN13" i="1"/>
  <c r="AN4" i="1"/>
  <c r="AD4" i="1"/>
  <c r="AD5" i="1"/>
  <c r="AD6" i="1"/>
  <c r="AD7" i="1"/>
  <c r="AD8" i="1"/>
  <c r="AD9" i="1"/>
  <c r="AD10" i="1"/>
  <c r="AD11" i="1"/>
  <c r="AD12" i="1"/>
  <c r="AD13" i="1"/>
  <c r="AD3" i="1"/>
  <c r="AQ15" i="1"/>
  <c r="AR15" i="1"/>
  <c r="AS15" i="1"/>
  <c r="AT15" i="1"/>
  <c r="AU15" i="1"/>
  <c r="AV15" i="1"/>
  <c r="AW15" i="1"/>
  <c r="X15" i="1"/>
  <c r="W16" i="1" s="1"/>
  <c r="H47" i="1"/>
  <c r="G47" i="1"/>
  <c r="F47" i="1"/>
  <c r="E47" i="1"/>
  <c r="D47" i="1"/>
  <c r="C47" i="1"/>
  <c r="AN17" i="1" l="1"/>
  <c r="AO17" i="1" s="1"/>
  <c r="AC16" i="1"/>
</calcChain>
</file>

<file path=xl/sharedStrings.xml><?xml version="1.0" encoding="utf-8"?>
<sst xmlns="http://schemas.openxmlformats.org/spreadsheetml/2006/main" count="1905" uniqueCount="411">
  <si>
    <t>x`</t>
  </si>
  <si>
    <t>Premi penutupan tidak langsung  - Reas</t>
  </si>
  <si>
    <t>Januari 2026</t>
  </si>
  <si>
    <t>Januari 2025</t>
  </si>
  <si>
    <t>Aset?</t>
  </si>
  <si>
    <t>Top 10 Aset - Jiwa</t>
  </si>
  <si>
    <t>Total</t>
  </si>
  <si>
    <t>PT Reasuransi Indonesia Utama (Persero)</t>
  </si>
  <si>
    <t>PT Asuransi Astra Buana</t>
  </si>
  <si>
    <t>PT Asuransi Jiwa Manulife Indonesia</t>
  </si>
  <si>
    <t xml:space="preserve"> PT Maskapai Reasuransi Indonesia Tbk.</t>
  </si>
  <si>
    <t>PT Asuransi Tugu Pratama Indonesia Tbk.</t>
  </si>
  <si>
    <t>PT Indolife Pensiontama</t>
  </si>
  <si>
    <t xml:space="preserve"> PT Reasuransi Nasional Indonesia</t>
  </si>
  <si>
    <t>PT Asuransi Kredit Indonesia</t>
  </si>
  <si>
    <t>PT Prudential Life Assurance</t>
  </si>
  <si>
    <t xml:space="preserve"> PT Tugu Reasuransi Indonesia</t>
  </si>
  <si>
    <t>PT Asuransi Central Asia</t>
  </si>
  <si>
    <t>PT AXA Mandiri Financial Services</t>
  </si>
  <si>
    <t xml:space="preserve"> PT Reasuransi Maipark Indonesia</t>
  </si>
  <si>
    <t>PT Asuransi Kerugian Jasa Raharja</t>
  </si>
  <si>
    <t>PT AIA Financial</t>
  </si>
  <si>
    <t xml:space="preserve"> PT Reasuransi Nusantara Makmur</t>
  </si>
  <si>
    <t>PT Asuransi Jasa Indonesia</t>
  </si>
  <si>
    <t>PT Asuransi Allianz Life Indonesia</t>
  </si>
  <si>
    <t xml:space="preserve"> PT Indoperkasa Suksesjaya Reasuransi</t>
  </si>
  <si>
    <t>PT Asuransi Sinar Mas</t>
  </si>
  <si>
    <t>PT Asuransi Jiwa IFG</t>
  </si>
  <si>
    <t>PT Orion Reasuransi Indonesia</t>
  </si>
  <si>
    <t>PT Zurich Asuransi Indonesia Tbk.</t>
  </si>
  <si>
    <t>PT BNI Life Insurance</t>
  </si>
  <si>
    <t>PT BRI Asuransi Indonesia</t>
  </si>
  <si>
    <t>PT Asuransi BRI Life</t>
  </si>
  <si>
    <t>Premi Bruto - Reas</t>
  </si>
  <si>
    <t>PT Asuransi Multi Artha Guna Tbk.</t>
  </si>
  <si>
    <t>PT Asuransi Jiwa Sequis Life</t>
  </si>
  <si>
    <t xml:space="preserve"> PT Reasuransi Indonesia Utama (Persero)</t>
  </si>
  <si>
    <t>Top 10 Ekuitas - Umum</t>
  </si>
  <si>
    <t>Top 10 Ekuitas - Jiwa</t>
  </si>
  <si>
    <t>PT MSIG Life Insurance Indonesia Tbk.</t>
  </si>
  <si>
    <t>Hasil Underwriting - Reas</t>
  </si>
  <si>
    <t>PT Sun Life Financial Indonesia</t>
  </si>
  <si>
    <t>Top 10 Premi Bruto - Umum</t>
  </si>
  <si>
    <t>Top 10 Pendapatan Premi - Jiwa</t>
  </si>
  <si>
    <t>PT Lippo General Insurance Tbk.</t>
  </si>
  <si>
    <t>PT Asuransi Jiwa Inhealth Indonesia</t>
  </si>
  <si>
    <t>Ekuitas</t>
  </si>
  <si>
    <t>PT MNC Asuransi Indonesia</t>
  </si>
  <si>
    <t>PT Asuransi Jiwa Astra</t>
  </si>
  <si>
    <t>Top 10 Hasil Underwriting - Umum</t>
  </si>
  <si>
    <t>Top 10 Laba Komprehensif - Jiwa</t>
  </si>
  <si>
    <t>PT Asuransi Simas Insurtech</t>
  </si>
  <si>
    <t>Laba Bersih</t>
  </si>
  <si>
    <t>PT Asuransi Jiwa Central Asia Raya</t>
  </si>
  <si>
    <t>PT Asuransi Jiwa Generali Indonesia</t>
  </si>
  <si>
    <t>PT Asuransi Umum Seainsure</t>
  </si>
  <si>
    <t>PT Asuransi Jiwa BCA</t>
  </si>
  <si>
    <t>Top 10 Solvabilitas - Umum</t>
  </si>
  <si>
    <t>Top 10 Solvabilitas - Jiwa</t>
  </si>
  <si>
    <t>Rata-Rata</t>
  </si>
  <si>
    <t>PT Victoria Insurance Tbk.</t>
  </si>
  <si>
    <t>PT PFI Mega Life Insurance</t>
  </si>
  <si>
    <t>PT Central Asia Financial</t>
  </si>
  <si>
    <t>RBC</t>
  </si>
  <si>
    <t>PT Asuransi Jiwa Sealnsure</t>
  </si>
  <si>
    <t>PT Asuransi Sumit Oto</t>
  </si>
  <si>
    <t>PT Asuransi Jiwa Starinvestama</t>
  </si>
  <si>
    <t>PT Asuransi Digital Bersama Tbk.</t>
  </si>
  <si>
    <t>PT Hanwha Life Insurance Indonesia</t>
  </si>
  <si>
    <t>PT China Life Insurance Indonesia</t>
  </si>
  <si>
    <t>PT Asuransi Staco Mandiri</t>
  </si>
  <si>
    <t>PT Panin Dai-Chi Life</t>
  </si>
  <si>
    <t>PT Victoria Alife Indonesia</t>
  </si>
  <si>
    <t>PT Asuransi Bina Dana Arta Tbk.</t>
  </si>
  <si>
    <t>PT AIG Insurance Indonesia</t>
  </si>
  <si>
    <t>PT Chubb General Insurance Indonesia</t>
  </si>
  <si>
    <t>PT Meritz Korindo Insurance</t>
  </si>
  <si>
    <t>PT Asuransi Allianz Utama Indonesia</t>
  </si>
  <si>
    <t>Top 10 Likuditas - Umum</t>
  </si>
  <si>
    <t>Top 10 Likuiditas - Jiwa</t>
  </si>
  <si>
    <t>Likuiditas</t>
  </si>
  <si>
    <t>PT Bhinneka Life Indonesia</t>
  </si>
  <si>
    <t>PT MNC Life Assurance</t>
  </si>
  <si>
    <t>PT Asuransi Jiwa Nasional</t>
  </si>
  <si>
    <t>PT Asuransi Sahabat Artha Proteksi</t>
  </si>
  <si>
    <t>PT Perta Life Insurance</t>
  </si>
  <si>
    <t>PT Asuransi Jasa Tania Tbk.</t>
  </si>
  <si>
    <t xml:space="preserve">Aset </t>
  </si>
  <si>
    <t>1. PT Asuransi Jiwa IFG</t>
  </si>
  <si>
    <t>2. AJB Bumiputera 1912</t>
  </si>
  <si>
    <t>3. PT Asuransi Jiwa Central Asia Raya</t>
  </si>
  <si>
    <t>4. PT Equity Life Indonesia</t>
  </si>
  <si>
    <t>5. PT Heksa Solution Insurance</t>
  </si>
  <si>
    <t>6. PT Indolife Pensiontama</t>
  </si>
  <si>
    <t>7. PT Asuransi Jiwa Inhealth Indonesia</t>
  </si>
  <si>
    <t>8. PT Avrist Assurance</t>
  </si>
  <si>
    <t>9. PT Asuransi Simas Jiwa</t>
  </si>
  <si>
    <t>10. PT MNC Life Assurance</t>
  </si>
  <si>
    <t>11. PT Asuransi Jiwa Teguh Pelita Pelindung</t>
  </si>
  <si>
    <t>12. PT Asuransi Jiwa Starinvestama</t>
  </si>
  <si>
    <t>13. PT Asuransi Jiwa Sequis Financial</t>
  </si>
  <si>
    <t>Dicabut izin ojk per 2026</t>
  </si>
  <si>
    <t>14. PT Perta Life Insurance</t>
  </si>
  <si>
    <t>15. PT Asuransi Jiwa Astra</t>
  </si>
  <si>
    <t>1.89</t>
  </si>
  <si>
    <t>16. PT Asuransi Jiwa Reliance Indonesia</t>
  </si>
  <si>
    <t>17. PT Central Asia Financial</t>
  </si>
  <si>
    <t>18. PT Capital Life Indonesia</t>
  </si>
  <si>
    <t>19. PT Asuransi Jiwa Taspen</t>
  </si>
  <si>
    <t>20. PT Asuransi Jiwa BCA</t>
  </si>
  <si>
    <t>21. PT Lippo Life Assurance</t>
  </si>
  <si>
    <t>22. PT Pacific Life Insurance</t>
  </si>
  <si>
    <t>1.45</t>
  </si>
  <si>
    <t>23. PT Bhinneka Life Indonesia</t>
  </si>
  <si>
    <t>24. PT Asuransi Jiwa Nasional</t>
  </si>
  <si>
    <t>25. PT Victoria Alife Indonesia</t>
  </si>
  <si>
    <t>4.08</t>
  </si>
  <si>
    <t>26. PT Asuransi Ciputra Indonesia</t>
  </si>
  <si>
    <t>1.53</t>
  </si>
  <si>
    <t>27. PT Asuransi Jiwa Sealnsure</t>
  </si>
  <si>
    <t>2.61</t>
  </si>
  <si>
    <t>28. PT Chubb Life Insurance</t>
  </si>
  <si>
    <t>2.08</t>
  </si>
  <si>
    <t>29. PT PFI Mega Life Insurance</t>
  </si>
  <si>
    <t>7.79</t>
  </si>
  <si>
    <t>30. PT China Life Insurance Indonesia</t>
  </si>
  <si>
    <t>2.21</t>
  </si>
  <si>
    <t>31. PT Asuransi BRI Life</t>
  </si>
  <si>
    <t>32. PT AIA Financial</t>
  </si>
  <si>
    <t>33. PT Asuransi Allianz Life Indonesia</t>
  </si>
  <si>
    <t>34. PT AXA Financial Indonesia</t>
  </si>
  <si>
    <t>35. PT AXA Mandiri Financial Services</t>
  </si>
  <si>
    <t>1.65</t>
  </si>
  <si>
    <t>36. PT FWD Insurance Indonesia</t>
  </si>
  <si>
    <t>1.68</t>
  </si>
  <si>
    <t>37. PT Asuransi Jiwa Generali Indonesia</t>
  </si>
  <si>
    <t>38. PT Great Eastern Life Indonesia</t>
  </si>
  <si>
    <t>39. PT Tokio Marine Life Insurance Indonesia</t>
  </si>
  <si>
    <t>1.37</t>
  </si>
  <si>
    <t>40. PT Asuransi Jiwa Manulife Indonesia</t>
  </si>
  <si>
    <t>1.55</t>
  </si>
  <si>
    <t>41. PT Prudential Life Assurance</t>
  </si>
  <si>
    <t>1.05</t>
  </si>
  <si>
    <t>42. PT MSIG Life Insurance Indonesia Tbk.</t>
  </si>
  <si>
    <t>43. PT Sun Life Financial Indonesia</t>
  </si>
  <si>
    <t>44. PT Zurich Topas Life</t>
  </si>
  <si>
    <t>2.39</t>
  </si>
  <si>
    <t>45. PT BNI Life Insurance</t>
  </si>
  <si>
    <t>46. PT Asuransi Jiwa Sequis Life</t>
  </si>
  <si>
    <t>1.95</t>
  </si>
  <si>
    <t>47. PT Panin Dai-Chi Life</t>
  </si>
  <si>
    <t>48. PT Hanwha Life Insurance Indonesia</t>
  </si>
  <si>
    <t>dalam juta IDR</t>
  </si>
  <si>
    <t>Premi_Penutupan_Tidak_Langsung</t>
  </si>
  <si>
    <t>Jumlah_Ekuitas</t>
  </si>
  <si>
    <t>Rasio_Pencapaian_Solvabilitas</t>
  </si>
  <si>
    <t>Rasio_Likuiditas</t>
  </si>
  <si>
    <t>Laba_Bersih</t>
  </si>
  <si>
    <t>Premi Bruto</t>
  </si>
  <si>
    <t>HUB</t>
  </si>
  <si>
    <t>Aset</t>
  </si>
  <si>
    <t>MAIPARK</t>
  </si>
  <si>
    <t>NASRE</t>
  </si>
  <si>
    <t>MAREIN</t>
  </si>
  <si>
    <t>TUGURE</t>
  </si>
  <si>
    <t>NUSRE</t>
  </si>
  <si>
    <t>INARE</t>
  </si>
  <si>
    <t>INDONESIA RE</t>
  </si>
  <si>
    <t>Industri</t>
  </si>
  <si>
    <t>Bulan</t>
  </si>
  <si>
    <t>avg bulanan</t>
  </si>
  <si>
    <t>dalam jutaan rupiah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</si>
  <si>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</si>
  <si>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</si>
  <si>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</si>
  <si>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</si>
  <si>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</si>
  <si>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</si>
  <si>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</si>
  <si>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</si>
  <si>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</si>
  <si>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</si>
  <si>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</si>
  <si>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</si>
  <si>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rata-rata</t>
  </si>
  <si>
    <t>total</t>
  </si>
  <si>
    <t>total rata2</t>
  </si>
  <si>
    <t>Rasio</t>
  </si>
  <si>
    <t>No</t>
  </si>
  <si>
    <t>RIU</t>
  </si>
  <si>
    <t>Premi Tidak Langsung Indonesia Re</t>
  </si>
  <si>
    <t>Premi Bruto Indonesia Re</t>
  </si>
  <si>
    <t>Laba Bersih Indonesia Re</t>
  </si>
  <si>
    <t>Hasil Underwriting Indonesia Re</t>
  </si>
  <si>
    <t>Premi Tidak Langsung Industri</t>
  </si>
  <si>
    <t>Premi Bruto Industri</t>
  </si>
  <si>
    <t>Laba Bersih Industri</t>
  </si>
  <si>
    <t>Hasil Underwriting Industri</t>
  </si>
  <si>
    <t>Feb</t>
  </si>
  <si>
    <t>Mar</t>
  </si>
  <si>
    <t>Apr</t>
  </si>
  <si>
    <t>Jun</t>
  </si>
  <si>
    <t>Jul</t>
  </si>
  <si>
    <t>Ags</t>
  </si>
  <si>
    <t>Sep</t>
  </si>
  <si>
    <t>Okt</t>
  </si>
  <si>
    <t>Nov</t>
  </si>
  <si>
    <t>ekuitas</t>
  </si>
  <si>
    <t>solva</t>
  </si>
  <si>
    <t>likuidi</t>
  </si>
  <si>
    <t>Solvabilitas</t>
  </si>
  <si>
    <t>Asuransi Astra Buana</t>
  </si>
  <si>
    <t>Desember -&gt;</t>
  </si>
  <si>
    <t>Asuransi Digital Bersama</t>
  </si>
  <si>
    <t>Victoria Insurance</t>
  </si>
  <si>
    <t>Asuransi Central Asia</t>
  </si>
  <si>
    <t>Asuransi Staco Mandiri</t>
  </si>
  <si>
    <t>Asuransi Bina Dana Arta</t>
  </si>
  <si>
    <t>Asuransi Sinar Mas</t>
  </si>
  <si>
    <t>Asuransi Bina Dama Arta Tbk</t>
  </si>
  <si>
    <t>Allianz Utama Indonesia</t>
  </si>
  <si>
    <t>Asuransi Tugu Pratama Indonesia</t>
  </si>
  <si>
    <t>Asuransi Sumit Oto</t>
  </si>
  <si>
    <t>Citra International Underwriters</t>
  </si>
  <si>
    <t>Asuransi Kredit Indonesia</t>
  </si>
  <si>
    <t>PT Citra International Underwriters</t>
  </si>
  <si>
    <t>Asuransi Jasa Indonesia</t>
  </si>
  <si>
    <t>PT Asuransi Samsung Tugu</t>
  </si>
  <si>
    <t>PT Asuransi Perisai Listrik Nasional*</t>
  </si>
  <si>
    <t>BRI Asuransi Indonesia</t>
  </si>
  <si>
    <t>AIG Insurance Indonesia</t>
  </si>
  <si>
    <t>Asuransi Artha Proteksi</t>
  </si>
  <si>
    <t>Asuransi Multi Artha Guna</t>
  </si>
  <si>
    <t>Asuransi Jasa Tania</t>
  </si>
  <si>
    <t>Zurich Asuransi Indonesia</t>
  </si>
  <si>
    <t>PT Asuransi Tokio Marine Indonesia</t>
  </si>
  <si>
    <t>Asuransi Tokio Marine Indonesia</t>
  </si>
  <si>
    <t>Meritz Korindo Insurance</t>
  </si>
  <si>
    <t>Asuransi Wahana Tata</t>
  </si>
  <si>
    <t>PT Asuransi Umum BCA</t>
  </si>
  <si>
    <t>avg</t>
  </si>
  <si>
    <t>Asuransi Umum BCA</t>
  </si>
  <si>
    <t>MNC Asuransi Indonesia</t>
  </si>
  <si>
    <t>Hasil Underwriting</t>
  </si>
  <si>
    <t>NAMA_PERUSAHAAN</t>
  </si>
  <si>
    <t>Asuransi Umum</t>
  </si>
  <si>
    <t>1 PT Asuransi Kerugian Jasa Raharja</t>
  </si>
  <si>
    <t>2 PT Asuransi Artarindo</t>
  </si>
  <si>
    <t>3 PT Arthagraha General Insurance</t>
  </si>
  <si>
    <t>4 PT Asuransi Astra Buana</t>
  </si>
  <si>
    <t>5 PT Avrist General Insurance</t>
  </si>
  <si>
    <t>6 PT Asuransi Bangun Askrida*</t>
  </si>
  <si>
    <t>7 PT Asuransi Bhakti Bhayangkara</t>
  </si>
  <si>
    <t>8 PT Asuransi Binagriya Upakara</t>
  </si>
  <si>
    <t>9 PT Asuransi Bintang Tbk.</t>
  </si>
  <si>
    <t>10 PT Bosowa Asuransi</t>
  </si>
  <si>
    <t>11 PT BRI Asuransi Indonesia</t>
  </si>
  <si>
    <t>12 PT Asuransi Buana Independent</t>
  </si>
  <si>
    <t>13 PT Asuransi Umum Bumiputera Muda 1967</t>
  </si>
  <si>
    <t>14 PT Asuransi Central Asia</t>
  </si>
  <si>
    <t>15 PT Asuransi Umum BCA</t>
  </si>
  <si>
    <t>16 PT Citra International Underwriters</t>
  </si>
  <si>
    <t>17 PT Asuransi Dayin Mitra Tbk.</t>
  </si>
  <si>
    <t>18 PT Asuransi Eka Lloyd Jaya</t>
  </si>
  <si>
    <t>19 PT Asuransi Total Bersama</t>
  </si>
  <si>
    <t>20 PT Asuransi Intra Asia</t>
  </si>
  <si>
    <t>21 PT MNC Asuransi Indonesia</t>
  </si>
  <si>
    <t>22 PT Asuransi Jasaraharja Putera</t>
  </si>
  <si>
    <t>23 PT Asuransi Jasa Tania Tbk.</t>
  </si>
  <si>
    <t>24 PT Asuransi Kredit Indonesia</t>
  </si>
  <si>
    <t>25 PT Malacca Trust Wuwungan Insurance Tbk.</t>
  </si>
  <si>
    <t>26 PT Asuransi Jasa Indonesia</t>
  </si>
  <si>
    <t>27 PT Asuransi Umum Mega</t>
  </si>
  <si>
    <t>28 PT Asuransi Umum Seainsure</t>
  </si>
  <si>
    <t>29 PT Asuransi Maximus Graha Persada Tbk.</t>
  </si>
  <si>
    <t>30 PT Pan Pacific Insurance</t>
  </si>
  <si>
    <t>31 PT Asuransi Raksa Pratikara</t>
  </si>
  <si>
    <t>32 PT Asuransi Rama Satria Wibawa</t>
  </si>
  <si>
    <t>33 PT Asuransi Reliance Indonesia</t>
  </si>
  <si>
    <t>34 PT Asuransi Digital Bersama Tbk.</t>
  </si>
  <si>
    <t>35 PT Asuransi Sinar Mas</t>
  </si>
  <si>
    <t>36 PT Asuransi Sumit Oto</t>
  </si>
  <si>
    <t>37 PT Asuransi Staco Mandiri</t>
  </si>
  <si>
    <t>38 PT Asuransi Tri Pakarta</t>
  </si>
  <si>
    <t>39 PT Asuransi Perisai Listrik Nasional*</t>
  </si>
  <si>
    <t>40 PT Asuransi Untuk Semua</t>
  </si>
  <si>
    <t>41 PT Victoria Insurance Tbk.</t>
  </si>
  <si>
    <t>42 PT Asuransi Umum Videi*</t>
  </si>
  <si>
    <t>43 PT Asuransi Wahana Tata</t>
  </si>
  <si>
    <t>44 PT Asuransi Mitra Pelindung Mustika</t>
  </si>
  <si>
    <t>45 PT Asuransi Cakrawala Proteksi Indonesia</t>
  </si>
  <si>
    <t>46 PT Asuransi Simas Insurtech</t>
  </si>
  <si>
    <t>47 PT Asuransi Asei Indonesia</t>
  </si>
  <si>
    <t>48 PT Asuransi Sahabat Artha Proteksi</t>
  </si>
  <si>
    <t>49 PT Asuransi Candi Utama</t>
  </si>
  <si>
    <t>50 PT Asuransi Harta Aman Pratama Tbk.</t>
  </si>
  <si>
    <t>51 PT Berdikari Insurance**</t>
  </si>
  <si>
    <t>52 PT Asuransi Purna Artanugraha**</t>
  </si>
  <si>
    <t>1 PT Zurich Asuransi Indonesia Tbk.</t>
  </si>
  <si>
    <t>2 PT Asuransi Ramayana Tbk.</t>
  </si>
  <si>
    <t>3 PT Asuransi Multi Artha Guna Tbk.</t>
  </si>
  <si>
    <t>4 PT Asuransi Tugu Pratama Indonesia Tbk.</t>
  </si>
  <si>
    <t>5 PT Asuransi Etiqa Internasional Indonesia</t>
  </si>
  <si>
    <t>6 PT Chubb General Insurance Indonesia</t>
  </si>
  <si>
    <t>7 PT Asuransi Allianz Utama Indonesia</t>
  </si>
  <si>
    <t>8 PT AIG Insurance Indonesia</t>
  </si>
  <si>
    <t>9 PT China Taiping Insurance Indonesia</t>
  </si>
  <si>
    <t>10 PT Meritz Korindo Insurance</t>
  </si>
  <si>
    <t>11 PT Sunday Insurance Indonesia</t>
  </si>
  <si>
    <t>12 PT Kookmin Best Insurance Indonesia</t>
  </si>
  <si>
    <t>13 PT AXA Insurance Indonesia</t>
  </si>
  <si>
    <t>14 PT Asuransi MSIG Indonesia</t>
  </si>
  <si>
    <t>15 PT Sompo Insurance Indonesia</t>
  </si>
  <si>
    <t>16 PT Great Eastern General Insurance Indonesia</t>
  </si>
  <si>
    <t>17 PT Asuransi Samsung Tugu</t>
  </si>
  <si>
    <t>18 PT Asuransi Tokio Marine Indonesia</t>
  </si>
  <si>
    <t>19 PT Asuransi Bina Dana Arta Tbk.</t>
  </si>
  <si>
    <t>865872.41</t>
  </si>
  <si>
    <t>372637.72</t>
  </si>
  <si>
    <t>20 PT Asuransi FPG Indonesia</t>
  </si>
  <si>
    <t>21 PT Lippo General Insurance Tbk.</t>
  </si>
  <si>
    <t xml:space="preserve">Premi Bruto </t>
  </si>
  <si>
    <t>10 Besar Perusahaan Asuransi Jiwa</t>
  </si>
  <si>
    <t>Jumlah Aset</t>
  </si>
  <si>
    <t>Jumlah Ekuitas</t>
  </si>
  <si>
    <t>Manulife Indonesia</t>
  </si>
  <si>
    <t>Indolife Pensiontama</t>
  </si>
  <si>
    <t>Prudential Life</t>
  </si>
  <si>
    <t>AIA Financial</t>
  </si>
  <si>
    <t>AXA Mandiri Financial Service</t>
  </si>
  <si>
    <t>MSIG Life Insurance</t>
  </si>
  <si>
    <t>Prudential Life Indonesia</t>
  </si>
  <si>
    <t>Allianz Life</t>
  </si>
  <si>
    <t>Sun Life Financial Service</t>
  </si>
  <si>
    <t>IFG Life</t>
  </si>
  <si>
    <t>Allianz Indonesia</t>
  </si>
  <si>
    <t>Asuransi Simas Jiwa</t>
  </si>
  <si>
    <t>BNI LIfe Insurance</t>
  </si>
  <si>
    <t>dalam jutaan Rp</t>
  </si>
  <si>
    <t>Great Eastern Life</t>
  </si>
  <si>
    <t>Panin Dai Chi Life</t>
  </si>
  <si>
    <t>Premi Bruto Asuransi Jiwa 2025</t>
  </si>
  <si>
    <t xml:space="preserve">Desember </t>
  </si>
  <si>
    <t>Jumlah Pendapatan Premi</t>
  </si>
  <si>
    <t>Premi Reasuransi</t>
  </si>
  <si>
    <t xml:space="preserve">Allianz Life </t>
  </si>
  <si>
    <t>Central Asia Raya</t>
  </si>
  <si>
    <t xml:space="preserve">Heksa Solution </t>
  </si>
  <si>
    <t>Hanwha Life</t>
  </si>
  <si>
    <t>BNI Life</t>
  </si>
  <si>
    <t>Chubb Life</t>
  </si>
  <si>
    <t>Inhealth Indonesia</t>
  </si>
  <si>
    <t>Victoria Alife</t>
  </si>
  <si>
    <t>MSIG Life</t>
  </si>
  <si>
    <t>Reliance Indonesia</t>
  </si>
  <si>
    <t>Laba Bersih Asuransi Jiwa 2025</t>
  </si>
  <si>
    <t>Rasio Solvabilitas</t>
  </si>
  <si>
    <t>Sequis Life</t>
  </si>
  <si>
    <t>PFI Mega Life Insurance</t>
  </si>
  <si>
    <t>Seainsure Life</t>
  </si>
  <si>
    <t>Premi Bruto Industri Asuransi Jiwa</t>
  </si>
  <si>
    <t>Laba Bersih Industri Asuransi Jiwa</t>
  </si>
  <si>
    <t>Pasaraya Life</t>
  </si>
  <si>
    <t>Pacific Life</t>
  </si>
  <si>
    <t>Asuransi Jiwa Starinvestama</t>
  </si>
  <si>
    <t>Rasio Likuiditas</t>
  </si>
  <si>
    <t>Asuransi Starinvestasma</t>
  </si>
  <si>
    <t>PFI Mega Life</t>
  </si>
  <si>
    <t>Asuransi Jiwa Nasional</t>
  </si>
  <si>
    <t>Central Asia Financial</t>
  </si>
  <si>
    <t>Pasaraya Life Insurance</t>
  </si>
  <si>
    <t>Perta Life</t>
  </si>
  <si>
    <t>Lippo Life</t>
  </si>
  <si>
    <t>MNC Life</t>
  </si>
  <si>
    <t>Mei-25</t>
  </si>
  <si>
    <t>Agu-25</t>
  </si>
  <si>
    <t>Okt-25</t>
  </si>
  <si>
    <t>Des-25</t>
  </si>
  <si>
    <t>BI Rate</t>
  </si>
  <si>
    <t>Inflasi</t>
  </si>
  <si>
    <t>-0.09%</t>
  </si>
  <si>
    <t>Indonesia Re</t>
  </si>
  <si>
    <t>Tugu Re</t>
  </si>
  <si>
    <t>Marein</t>
  </si>
  <si>
    <t>Nusantara Re</t>
  </si>
  <si>
    <t>Maipark</t>
  </si>
  <si>
    <t>Lainnya</t>
  </si>
  <si>
    <t>10 Perusahaan Asuransi Jiwa Terbesar</t>
  </si>
  <si>
    <t>Perusahaan</t>
  </si>
  <si>
    <t>BRI Life</t>
  </si>
  <si>
    <t>Prudential</t>
  </si>
  <si>
    <t>AXA Mandiri</t>
  </si>
  <si>
    <t>AIA</t>
  </si>
  <si>
    <t>Sun Life</t>
  </si>
  <si>
    <t>Pendapatan Premi</t>
  </si>
  <si>
    <t xml:space="preserve">AIA </t>
  </si>
  <si>
    <t>Indolife</t>
  </si>
  <si>
    <t>Manulife</t>
  </si>
  <si>
    <t>Hekka Solution</t>
  </si>
  <si>
    <t>Simas Jiwa</t>
  </si>
  <si>
    <t>Laba Rugi Komprehensif</t>
  </si>
  <si>
    <t>Starinvestama</t>
  </si>
  <si>
    <t>Avrist Assurance</t>
  </si>
  <si>
    <t>Capital Life</t>
  </si>
  <si>
    <t>Sequis Financial</t>
  </si>
  <si>
    <t>PFI Megalife</t>
  </si>
  <si>
    <t>Generali Indonesia</t>
  </si>
  <si>
    <t>Februari 2026</t>
  </si>
  <si>
    <t>Februari 2025</t>
  </si>
  <si>
    <t>Top 10 Aset - Umum</t>
  </si>
  <si>
    <t>8 PT Orion Reasuransi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</si>
</sst>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Rp&quot;#,##0;[Red]\-&quot;Rp&quot;#,##0"/>
    <numFmt numFmtId="165" formatCode="_-&quot;Rp&quot;* #,##0.00_-;\-&quot;Rp&quot;* #,##0.00_-;_-&quot;Rp&quot;* &quot;-&quot;??_-;_-@_-"/>
    <numFmt numFmtId="166" formatCode="_-* #,##0.00_-;\-* #,##0.00_-;_-* &quot;-&quot;??_-;_-@_-"/>
    <numFmt numFmtId="167" formatCode="0.0%"/>
    <numFmt numFmtId="168" formatCode="_-[$Rp-421]* #,##0_-;\-[$Rp-421]* #,##0_-;_-[$Rp-421]* &quot;-&quot;??_-;_-@_-"/>
    <numFmt numFmtId="169" formatCode="0.0000%"/>
    <numFmt numFmtId="170" formatCode="_-* #,##0_-;\-* #,##0_-;_-* &quot;-&quot;??_-;_-@_-"/>
    <numFmt numFmtId="171" formatCode="_-&quot;Rp&quot;* #,##0_-;\-&quot;Rp&quot;* #,##0_-;_-&quot;Rp&quot;* &quot;-&quot;??_-;_-@_-"/>
    <numFmt numFmtId="172" formatCode="_-[$Rp-421]* #,##0_-;\-[$Rp-421]* #,##0_-;_-[$Rp-421]* &quot;-&quot;_-;_-@_-"/>
    <numFmt numFmtId="173" formatCode="_-[$Rp-3809]* #,##0_-;\-[$Rp-3809]* #,##0_-;_-[$Rp-3809]* &quot;-&quot;??_-;_-@_-"/>
    <numFmt numFmtId="174" formatCode="&quot;Rp&quot;#,##0"/>
    <numFmt numFmtId="17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D2CE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9" fontId="0" fillId="0" borderId="0" xfId="1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10" fontId="2" fillId="2" borderId="1" xfId="0" applyNumberFormat="1" applyFont="1" applyFill="1" applyBorder="1" applyAlignment="1">
      <alignment horizontal="right" vertical="center" wrapText="1"/>
    </xf>
    <xf numFmtId="10" fontId="0" fillId="0" borderId="1" xfId="0" applyNumberFormat="1" applyBorder="1" applyAlignment="1">
      <alignment vertical="center" wrapText="1"/>
    </xf>
    <xf numFmtId="10" fontId="0" fillId="2" borderId="1" xfId="0" applyNumberFormat="1" applyFill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9" fontId="0" fillId="2" borderId="1" xfId="0" applyNumberFormat="1" applyFill="1" applyBorder="1" applyAlignment="1">
      <alignment horizontal="right" vertical="center" wrapText="1"/>
    </xf>
    <xf numFmtId="167" fontId="0" fillId="2" borderId="1" xfId="0" applyNumberFormat="1" applyFill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1" applyFont="1" applyAlignment="1">
      <alignment horizontal="right"/>
    </xf>
    <xf numFmtId="9" fontId="0" fillId="0" borderId="0" xfId="1" quotePrefix="1" applyFont="1" applyAlignment="1">
      <alignment horizontal="right"/>
    </xf>
    <xf numFmtId="10" fontId="0" fillId="0" borderId="0" xfId="1" applyNumberFormat="1" applyFont="1" applyAlignment="1">
      <alignment horizontal="right"/>
    </xf>
    <xf numFmtId="3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vertical="center" wrapText="1"/>
    </xf>
    <xf numFmtId="3" fontId="0" fillId="0" borderId="0" xfId="0" applyNumberFormat="1"/>
    <xf numFmtId="0" fontId="4" fillId="0" borderId="3" xfId="0" applyFont="1" applyBorder="1" applyAlignment="1">
      <alignment wrapText="1"/>
    </xf>
    <xf numFmtId="9" fontId="4" fillId="0" borderId="3" xfId="1" applyFont="1" applyBorder="1" applyAlignment="1">
      <alignment horizontal="right" wrapText="1"/>
    </xf>
    <xf numFmtId="2" fontId="4" fillId="0" borderId="1" xfId="0" applyNumberFormat="1" applyFont="1" applyBorder="1" applyAlignment="1">
      <alignment wrapText="1"/>
    </xf>
    <xf numFmtId="9" fontId="4" fillId="0" borderId="1" xfId="1" applyFont="1" applyBorder="1" applyAlignment="1">
      <alignment horizontal="right" wrapText="1"/>
    </xf>
    <xf numFmtId="9" fontId="4" fillId="3" borderId="1" xfId="1" applyFont="1" applyFill="1" applyBorder="1" applyAlignment="1">
      <alignment horizontal="right" wrapText="1"/>
    </xf>
    <xf numFmtId="2" fontId="5" fillId="0" borderId="1" xfId="0" applyNumberFormat="1" applyFont="1" applyBorder="1" applyAlignment="1">
      <alignment wrapText="1"/>
    </xf>
    <xf numFmtId="2" fontId="5" fillId="3" borderId="1" xfId="0" applyNumberFormat="1" applyFont="1" applyFill="1" applyBorder="1" applyAlignment="1">
      <alignment wrapText="1"/>
    </xf>
    <xf numFmtId="168" fontId="0" fillId="0" borderId="1" xfId="0" applyNumberFormat="1" applyBorder="1" applyAlignment="1">
      <alignment vertical="center" wrapText="1"/>
    </xf>
    <xf numFmtId="168" fontId="0" fillId="2" borderId="1" xfId="0" applyNumberFormat="1" applyFill="1" applyBorder="1" applyAlignment="1">
      <alignment horizontal="right" vertical="center" wrapText="1"/>
    </xf>
    <xf numFmtId="168" fontId="2" fillId="2" borderId="1" xfId="0" applyNumberFormat="1" applyFont="1" applyFill="1" applyBorder="1" applyAlignment="1">
      <alignment horizontal="right" vertical="center" wrapText="1"/>
    </xf>
    <xf numFmtId="168" fontId="0" fillId="0" borderId="1" xfId="0" applyNumberFormat="1" applyBorder="1" applyAlignment="1">
      <alignment horizontal="right" vertical="center" wrapText="1"/>
    </xf>
    <xf numFmtId="168" fontId="2" fillId="2" borderId="1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9" fontId="4" fillId="3" borderId="3" xfId="1" applyFont="1" applyFill="1" applyBorder="1" applyAlignment="1">
      <alignment horizontal="right" wrapText="1"/>
    </xf>
    <xf numFmtId="9" fontId="0" fillId="0" borderId="0" xfId="1" applyFont="1"/>
    <xf numFmtId="169" fontId="0" fillId="0" borderId="0" xfId="0" applyNumberFormat="1"/>
    <xf numFmtId="167" fontId="0" fillId="0" borderId="0" xfId="0" applyNumberFormat="1"/>
    <xf numFmtId="9" fontId="0" fillId="0" borderId="0" xfId="1" applyFont="1" applyAlignment="1">
      <alignment horizontal="right" vertical="center" wrapText="1"/>
    </xf>
    <xf numFmtId="168" fontId="0" fillId="0" borderId="0" xfId="0" applyNumberFormat="1"/>
    <xf numFmtId="168" fontId="0" fillId="0" borderId="0" xfId="0" applyNumberFormat="1" applyAlignment="1">
      <alignment horizontal="right" vertical="center" wrapText="1"/>
    </xf>
    <xf numFmtId="167" fontId="0" fillId="0" borderId="0" xfId="1" applyNumberFormat="1" applyFont="1" applyAlignment="1">
      <alignment horizontal="right" vertical="center" wrapText="1"/>
    </xf>
    <xf numFmtId="10" fontId="0" fillId="0" borderId="0" xfId="1" applyNumberFormat="1" applyFont="1" applyAlignment="1">
      <alignment horizontal="right" vertical="center" wrapText="1"/>
    </xf>
    <xf numFmtId="9" fontId="0" fillId="0" borderId="0" xfId="0" applyNumberFormat="1"/>
    <xf numFmtId="170" fontId="0" fillId="0" borderId="1" xfId="2" applyNumberFormat="1" applyFont="1" applyBorder="1" applyAlignment="1">
      <alignment vertical="center" wrapText="1"/>
    </xf>
    <xf numFmtId="170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/>
    <xf numFmtId="171" fontId="0" fillId="0" borderId="0" xfId="2" applyNumberFormat="1" applyFont="1"/>
    <xf numFmtId="171" fontId="6" fillId="0" borderId="0" xfId="2" applyNumberFormat="1" applyFont="1" applyAlignment="1">
      <alignment wrapText="1"/>
    </xf>
    <xf numFmtId="9" fontId="6" fillId="0" borderId="0" xfId="1" applyFont="1" applyAlignment="1">
      <alignment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10" fontId="0" fillId="0" borderId="4" xfId="0" applyNumberFormat="1" applyBorder="1"/>
    <xf numFmtId="9" fontId="0" fillId="0" borderId="4" xfId="0" applyNumberFormat="1" applyBorder="1"/>
    <xf numFmtId="0" fontId="0" fillId="0" borderId="5" xfId="0" applyBorder="1" applyAlignment="1">
      <alignment horizontal="left" vertical="center" wrapText="1"/>
    </xf>
    <xf numFmtId="10" fontId="0" fillId="0" borderId="6" xfId="0" applyNumberFormat="1" applyBorder="1"/>
    <xf numFmtId="0" fontId="0" fillId="0" borderId="7" xfId="0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168" fontId="0" fillId="0" borderId="7" xfId="0" applyNumberFormat="1" applyBorder="1" applyAlignment="1">
      <alignment vertical="center" wrapText="1"/>
    </xf>
    <xf numFmtId="0" fontId="0" fillId="0" borderId="4" xfId="0" applyBorder="1"/>
    <xf numFmtId="0" fontId="0" fillId="0" borderId="7" xfId="0" applyBorder="1" applyAlignment="1">
      <alignment horizontal="left" vertical="center" wrapText="1"/>
    </xf>
    <xf numFmtId="3" fontId="0" fillId="0" borderId="7" xfId="0" applyNumberFormat="1" applyBorder="1" applyAlignment="1">
      <alignment vertical="center" wrapText="1"/>
    </xf>
    <xf numFmtId="170" fontId="0" fillId="0" borderId="7" xfId="2" applyNumberFormat="1" applyFont="1" applyBorder="1" applyAlignment="1">
      <alignment vertical="center" wrapText="1"/>
    </xf>
    <xf numFmtId="3" fontId="0" fillId="0" borderId="4" xfId="0" applyNumberFormat="1" applyBorder="1"/>
    <xf numFmtId="172" fontId="0" fillId="0" borderId="4" xfId="0" applyNumberFormat="1" applyBorder="1"/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172" fontId="6" fillId="0" borderId="0" xfId="0" applyNumberFormat="1" applyFont="1"/>
    <xf numFmtId="172" fontId="0" fillId="0" borderId="0" xfId="0" applyNumberFormat="1"/>
    <xf numFmtId="3" fontId="6" fillId="0" borderId="0" xfId="0" applyNumberFormat="1" applyFont="1"/>
    <xf numFmtId="164" fontId="0" fillId="0" borderId="0" xfId="0" applyNumberFormat="1"/>
    <xf numFmtId="9" fontId="0" fillId="0" borderId="0" xfId="1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70" fontId="0" fillId="0" borderId="2" xfId="2" applyNumberFormat="1" applyFont="1" applyBorder="1" applyAlignment="1">
      <alignment vertical="center" wrapText="1"/>
    </xf>
    <xf numFmtId="173" fontId="0" fillId="0" borderId="1" xfId="2" applyNumberFormat="1" applyFont="1" applyBorder="1" applyAlignment="1">
      <alignment vertical="center" wrapText="1"/>
    </xf>
    <xf numFmtId="173" fontId="0" fillId="0" borderId="1" xfId="2" applyNumberFormat="1" applyFont="1" applyBorder="1"/>
    <xf numFmtId="171" fontId="0" fillId="0" borderId="1" xfId="3" applyNumberFormat="1" applyFont="1" applyBorder="1"/>
    <xf numFmtId="171" fontId="0" fillId="0" borderId="0" xfId="3" applyNumberFormat="1" applyFont="1"/>
    <xf numFmtId="0" fontId="0" fillId="0" borderId="2" xfId="0" applyBorder="1" applyAlignment="1">
      <alignment horizontal="left" vertical="center" wrapText="1"/>
    </xf>
    <xf numFmtId="3" fontId="0" fillId="0" borderId="0" xfId="0" applyNumberFormat="1" applyAlignment="1">
      <alignment vertical="center" wrapText="1"/>
    </xf>
    <xf numFmtId="170" fontId="0" fillId="0" borderId="1" xfId="2" applyNumberFormat="1" applyFont="1" applyBorder="1" applyAlignment="1">
      <alignment horizontal="right" vertical="center" wrapText="1"/>
    </xf>
    <xf numFmtId="170" fontId="0" fillId="0" borderId="0" xfId="2" applyNumberFormat="1" applyFont="1" applyAlignment="1">
      <alignment horizontal="left"/>
    </xf>
    <xf numFmtId="174" fontId="0" fillId="0" borderId="1" xfId="3" applyNumberFormat="1" applyFont="1" applyBorder="1"/>
    <xf numFmtId="0" fontId="0" fillId="0" borderId="8" xfId="0" applyBorder="1" applyAlignment="1">
      <alignment horizontal="center" vertical="center" wrapText="1"/>
    </xf>
    <xf numFmtId="174" fontId="0" fillId="0" borderId="8" xfId="2" applyNumberFormat="1" applyFont="1" applyBorder="1" applyAlignment="1">
      <alignment vertical="center" wrapText="1"/>
    </xf>
    <xf numFmtId="174" fontId="0" fillId="0" borderId="1" xfId="2" applyNumberFormat="1" applyFont="1" applyBorder="1"/>
    <xf numFmtId="174" fontId="0" fillId="0" borderId="10" xfId="2" applyNumberFormat="1" applyFont="1" applyBorder="1" applyAlignment="1">
      <alignment vertical="center" wrapText="1"/>
    </xf>
    <xf numFmtId="174" fontId="0" fillId="0" borderId="5" xfId="0" applyNumberFormat="1" applyBorder="1"/>
    <xf numFmtId="0" fontId="0" fillId="0" borderId="2" xfId="0" applyBorder="1" applyAlignment="1">
      <alignment horizontal="center" vertical="center" wrapText="1"/>
    </xf>
    <xf numFmtId="173" fontId="0" fillId="0" borderId="0" xfId="0" applyNumberFormat="1"/>
    <xf numFmtId="174" fontId="0" fillId="0" borderId="1" xfId="2" applyNumberFormat="1" applyFont="1" applyBorder="1" applyAlignment="1">
      <alignment horizontal="right" vertical="center" wrapText="1"/>
    </xf>
    <xf numFmtId="174" fontId="0" fillId="0" borderId="1" xfId="2" applyNumberFormat="1" applyFont="1" applyBorder="1" applyAlignment="1">
      <alignment vertical="center" wrapText="1"/>
    </xf>
    <xf numFmtId="174" fontId="0" fillId="0" borderId="7" xfId="2" applyNumberFormat="1" applyFont="1" applyBorder="1" applyAlignment="1">
      <alignment vertical="center" wrapText="1"/>
    </xf>
    <xf numFmtId="174" fontId="0" fillId="0" borderId="4" xfId="2" applyNumberFormat="1" applyFont="1" applyBorder="1"/>
    <xf numFmtId="174" fontId="2" fillId="0" borderId="0" xfId="0" applyNumberFormat="1" applyFont="1"/>
    <xf numFmtId="174" fontId="0" fillId="0" borderId="0" xfId="0" applyNumberFormat="1"/>
    <xf numFmtId="174" fontId="0" fillId="0" borderId="0" xfId="2" applyNumberFormat="1" applyFont="1"/>
    <xf numFmtId="170" fontId="0" fillId="0" borderId="0" xfId="2" applyNumberFormat="1" applyFont="1" applyAlignment="1">
      <alignment horizontal="right" vertical="center" wrapText="1"/>
    </xf>
    <xf numFmtId="170" fontId="0" fillId="0" borderId="13" xfId="2" applyNumberFormat="1" applyFont="1" applyBorder="1" applyAlignment="1">
      <alignment horizontal="right" vertical="center" wrapText="1"/>
    </xf>
    <xf numFmtId="170" fontId="0" fillId="0" borderId="13" xfId="2" applyNumberFormat="1" applyFont="1" applyBorder="1" applyAlignment="1">
      <alignment vertical="center" wrapText="1"/>
    </xf>
    <xf numFmtId="170" fontId="0" fillId="0" borderId="0" xfId="0" applyNumberFormat="1"/>
    <xf numFmtId="166" fontId="0" fillId="0" borderId="13" xfId="2" applyFont="1" applyBorder="1" applyAlignment="1">
      <alignment vertical="center" wrapText="1"/>
    </xf>
    <xf numFmtId="166" fontId="0" fillId="0" borderId="0" xfId="2" applyFont="1" applyAlignment="1">
      <alignment horizontal="right" vertical="center" wrapText="1"/>
    </xf>
    <xf numFmtId="166" fontId="0" fillId="0" borderId="13" xfId="2" applyFont="1" applyBorder="1" applyAlignment="1">
      <alignment horizontal="right" vertical="center" wrapText="1"/>
    </xf>
    <xf numFmtId="166" fontId="0" fillId="4" borderId="13" xfId="2" applyFont="1" applyFill="1" applyBorder="1" applyAlignment="1">
      <alignment vertical="center" wrapText="1"/>
    </xf>
    <xf numFmtId="166" fontId="0" fillId="4" borderId="0" xfId="2" applyFont="1" applyFill="1" applyAlignment="1">
      <alignment horizontal="left" vertical="center" wrapText="1"/>
    </xf>
    <xf numFmtId="166" fontId="0" fillId="4" borderId="0" xfId="2" applyFont="1" applyFill="1" applyAlignment="1">
      <alignment horizontal="right" vertical="center" wrapText="1"/>
    </xf>
    <xf numFmtId="166" fontId="0" fillId="4" borderId="13" xfId="2" applyFont="1" applyFill="1" applyBorder="1" applyAlignment="1">
      <alignment horizontal="right" vertical="center" wrapText="1"/>
    </xf>
    <xf numFmtId="166" fontId="0" fillId="0" borderId="0" xfId="2" applyFont="1" applyFill="1" applyBorder="1" applyAlignment="1">
      <alignment vertical="center" wrapText="1"/>
    </xf>
    <xf numFmtId="166" fontId="0" fillId="0" borderId="0" xfId="0" applyNumberFormat="1"/>
    <xf numFmtId="166" fontId="0" fillId="0" borderId="0" xfId="2" applyFont="1" applyAlignment="1">
      <alignment vertical="center" wrapText="1"/>
    </xf>
    <xf numFmtId="166" fontId="0" fillId="4" borderId="0" xfId="2" applyFont="1" applyFill="1" applyAlignment="1">
      <alignment vertical="center" wrapText="1"/>
    </xf>
    <xf numFmtId="166" fontId="0" fillId="0" borderId="0" xfId="0" applyNumberFormat="1" applyAlignment="1">
      <alignment horizontal="right" vertical="center" wrapText="1"/>
    </xf>
    <xf numFmtId="166" fontId="0" fillId="0" borderId="0" xfId="2" applyFont="1"/>
    <xf numFmtId="0" fontId="0" fillId="0" borderId="14" xfId="0" applyBorder="1"/>
    <xf numFmtId="175" fontId="0" fillId="0" borderId="0" xfId="0" applyNumberFormat="1"/>
    <xf numFmtId="175" fontId="0" fillId="0" borderId="14" xfId="0" applyNumberFormat="1" applyBorder="1"/>
    <xf numFmtId="175" fontId="0" fillId="0" borderId="14" xfId="0" applyNumberFormat="1" applyBorder="1" applyAlignment="1">
      <alignment horizontal="left"/>
    </xf>
    <xf numFmtId="17" fontId="0" fillId="0" borderId="0" xfId="0" applyNumberFormat="1"/>
    <xf numFmtId="10" fontId="0" fillId="0" borderId="0" xfId="1" applyNumberFormat="1" applyFont="1"/>
    <xf numFmtId="1" fontId="0" fillId="0" borderId="0" xfId="0" applyNumberFormat="1"/>
    <xf numFmtId="170" fontId="0" fillId="0" borderId="0" xfId="2" applyNumberFormat="1" applyFont="1" applyBorder="1" applyAlignment="1">
      <alignment horizontal="right" vertical="center" wrapText="1"/>
    </xf>
    <xf numFmtId="170" fontId="0" fillId="0" borderId="0" xfId="0" applyNumberFormat="1" applyAlignment="1">
      <alignment vertical="center" wrapText="1"/>
    </xf>
    <xf numFmtId="170" fontId="0" fillId="0" borderId="0" xfId="2" applyNumberFormat="1" applyFont="1" applyBorder="1"/>
    <xf numFmtId="10" fontId="2" fillId="2" borderId="0" xfId="0" applyNumberFormat="1" applyFont="1" applyFill="1" applyAlignment="1">
      <alignment horizontal="right" vertical="center" wrapText="1"/>
    </xf>
    <xf numFmtId="10" fontId="0" fillId="2" borderId="0" xfId="0" applyNumberFormat="1" applyFill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2" applyNumberFormat="1" applyFont="1" applyBorder="1"/>
    <xf numFmtId="170" fontId="0" fillId="0" borderId="0" xfId="2" applyNumberFormat="1" applyFont="1" applyBorder="1" applyAlignment="1">
      <alignment vertical="center" wrapText="1"/>
    </xf>
    <xf numFmtId="170" fontId="2" fillId="0" borderId="0" xfId="2" applyNumberFormat="1" applyFont="1" applyBorder="1"/>
    <xf numFmtId="170" fontId="2" fillId="2" borderId="0" xfId="2" applyNumberFormat="1" applyFont="1" applyFill="1" applyBorder="1" applyAlignment="1">
      <alignment horizontal="right" vertical="center" wrapText="1"/>
    </xf>
    <xf numFmtId="170" fontId="0" fillId="2" borderId="0" xfId="2" applyNumberFormat="1" applyFont="1" applyFill="1" applyBorder="1" applyAlignment="1">
      <alignment horizontal="right" vertical="center" wrapText="1"/>
    </xf>
    <xf numFmtId="0" fontId="0" fillId="5" borderId="0" xfId="0" applyFill="1"/>
    <xf numFmtId="3" fontId="0" fillId="0" borderId="15" xfId="0" applyNumberForma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170" fontId="0" fillId="0" borderId="0" xfId="2" applyNumberFormat="1" applyFont="1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170" fontId="0" fillId="0" borderId="15" xfId="2" applyNumberFormat="1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4" borderId="16" xfId="0" applyFill="1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9" fontId="0" fillId="4" borderId="0" xfId="1" applyFont="1" applyFill="1" applyAlignment="1">
      <alignment vertical="center" wrapText="1"/>
    </xf>
    <xf numFmtId="10" fontId="3" fillId="0" borderId="0" xfId="0" applyNumberFormat="1" applyFont="1"/>
    <xf numFmtId="0" fontId="0" fillId="0" borderId="0" xfId="2" applyNumberFormat="1" applyFont="1"/>
    <xf numFmtId="170" fontId="2" fillId="0" borderId="0" xfId="2" applyNumberFormat="1" applyFont="1"/>
    <xf numFmtId="170" fontId="2" fillId="2" borderId="0" xfId="2" applyNumberFormat="1" applyFont="1" applyFill="1" applyAlignment="1">
      <alignment horizontal="right" vertical="center" wrapText="1"/>
    </xf>
    <xf numFmtId="170" fontId="0" fillId="2" borderId="0" xfId="2" applyNumberFormat="1" applyFont="1" applyFill="1" applyAlignment="1">
      <alignment horizontal="right" vertical="center" wrapText="1"/>
    </xf>
    <xf numFmtId="0" fontId="0" fillId="0" borderId="17" xfId="0" applyBorder="1"/>
    <xf numFmtId="175" fontId="0" fillId="0" borderId="0" xfId="2" applyNumberFormat="1" applyFont="1"/>
    <xf numFmtId="175" fontId="0" fillId="2" borderId="0" xfId="0" applyNumberFormat="1" applyFill="1"/>
    <xf numFmtId="10" fontId="2" fillId="2" borderId="0" xfId="0" applyNumberFormat="1" applyFont="1" applyFill="1"/>
    <xf numFmtId="10" fontId="0" fillId="2" borderId="0" xfId="0" applyNumberFormat="1" applyFill="1"/>
    <xf numFmtId="0" fontId="2" fillId="0" borderId="17" xfId="0" applyFont="1" applyBorder="1"/>
    <xf numFmtId="175" fontId="0" fillId="6" borderId="0" xfId="0" applyNumberFormat="1" applyFill="1"/>
    <xf numFmtId="9" fontId="0" fillId="6" borderId="0" xfId="0" applyNumberFormat="1" applyFill="1"/>
    <xf numFmtId="10" fontId="0" fillId="6" borderId="0" xfId="0" applyNumberFormat="1" applyFill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Penutupan</a:t>
            </a:r>
            <a:r>
              <a:rPr lang="en-US" sz="1200" baseline="0"/>
              <a:t> Tidak Langsung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2480278460844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CE-48CC-BBE0-E0361D67DB68}"/>
                </c:ext>
              </c:extLst>
            </c:dLbl>
            <c:dLbl>
              <c:idx val="1"/>
              <c:layout>
                <c:manualLayout>
                  <c:x val="0"/>
                  <c:y val="-1.6240139230422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CE-48CC-BBE0-E0361D67DB68}"/>
                </c:ext>
              </c:extLst>
            </c:dLbl>
            <c:dLbl>
              <c:idx val="3"/>
              <c:layout>
                <c:manualLayout>
                  <c:x val="3.0075772000071992E-3"/>
                  <c:y val="4.8602772588179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CE-48CC-BBE0-E0361D67DB68}"/>
                </c:ext>
              </c:extLst>
            </c:dLbl>
            <c:dLbl>
              <c:idx val="4"/>
              <c:layout>
                <c:manualLayout>
                  <c:x val="0"/>
                  <c:y val="5.39374783931558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CE-48CC-BBE0-E0361D67DB68}"/>
                </c:ext>
              </c:extLst>
            </c:dLbl>
            <c:spPr>
              <a:solidFill>
                <a:srgbClr val="002060">
                  <a:alpha val="5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v2'!$A$4:$A$11</c:f>
              <c:strCache>
                <c:ptCount val="8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v2'!$B$4:$B$11</c:f>
              <c:numCache>
                <c:formatCode>_-* #,##0_-;\-* #,##0_-;_-* "-"??_-;_-@_-</c:formatCode>
                <c:ptCount val="8"/>
                <c:pt idx="0">
                  <c:v>388451</c:v>
                </c:pt>
                <c:pt idx="1">
                  <c:v>212437</c:v>
                </c:pt>
                <c:pt idx="2">
                  <c:v>120301</c:v>
                </c:pt>
                <c:pt idx="3">
                  <c:v>415708</c:v>
                </c:pt>
                <c:pt idx="4">
                  <c:v>933</c:v>
                </c:pt>
                <c:pt idx="5">
                  <c:v>2511781</c:v>
                </c:pt>
                <c:pt idx="6">
                  <c:v>129778</c:v>
                </c:pt>
                <c:pt idx="7">
                  <c:v>12142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CE-48CC-BBE0-E0361D67DB68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2.15749913572624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CE-48CC-BBE0-E0361D67DB68}"/>
                </c:ext>
              </c:extLst>
            </c:dLbl>
            <c:dLbl>
              <c:idx val="6"/>
              <c:layout>
                <c:manualLayout>
                  <c:x val="0"/>
                  <c:y val="1.07874956786311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CE-48CC-BBE0-E0361D67DB68}"/>
                </c:ext>
              </c:extLst>
            </c:dLbl>
            <c:spPr>
              <a:solidFill>
                <a:schemeClr val="accent6">
                  <a:lumMod val="75000"/>
                  <a:alpha val="6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v2'!$A$4:$A$11</c:f>
              <c:strCache>
                <c:ptCount val="8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v2'!$C$4:$C$11</c:f>
              <c:numCache>
                <c:formatCode>_-* #,##0_-;\-* #,##0_-;_-* "-"??_-;_-@_-</c:formatCode>
                <c:ptCount val="8"/>
                <c:pt idx="0">
                  <c:v>451716</c:v>
                </c:pt>
                <c:pt idx="1">
                  <c:v>143190</c:v>
                </c:pt>
                <c:pt idx="2">
                  <c:v>410915</c:v>
                </c:pt>
                <c:pt idx="3">
                  <c:v>438402</c:v>
                </c:pt>
                <c:pt idx="4">
                  <c:v>2231</c:v>
                </c:pt>
                <c:pt idx="5">
                  <c:v>1113064</c:v>
                </c:pt>
                <c:pt idx="6">
                  <c:v>85797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CE-48CC-BBE0-E0361D67DB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Rp3,7 Triliun</a:t>
                </a:r>
              </a:p>
            </c:rich>
          </c:tx>
          <c:layout>
            <c:manualLayout>
              <c:xMode val="edge"/>
              <c:yMode val="edge"/>
              <c:x val="5.1538767538563193E-2"/>
              <c:y val="0.8804810229514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10678450253937"/>
          <c:y val="0.88180095529421121"/>
          <c:w val="0.4059666235755941"/>
          <c:h val="8.3543998849249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565352976414082E-17"/>
                  <c:y val="2.71741339903054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3A-44C2-A0EC-08D999F76E4E}"/>
                </c:ext>
              </c:extLst>
            </c:dLbl>
            <c:dLbl>
              <c:idx val="3"/>
              <c:layout>
                <c:manualLayout>
                  <c:x val="0"/>
                  <c:y val="4.34786143844887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3A-44C2-A0EC-08D999F76E4E}"/>
                </c:ext>
              </c:extLst>
            </c:dLbl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v2'!$A$15:$A$22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v2'!$B$15:$B$22</c:f>
              <c:numCache>
                <c:formatCode>_-* #,##0_-;\-* #,##0_-;_-* "-"??_-;_-@_-</c:formatCode>
                <c:ptCount val="8"/>
                <c:pt idx="0">
                  <c:v>318296</c:v>
                </c:pt>
                <c:pt idx="1">
                  <c:v>169210</c:v>
                </c:pt>
                <c:pt idx="2">
                  <c:v>104953</c:v>
                </c:pt>
                <c:pt idx="3">
                  <c:v>352933</c:v>
                </c:pt>
                <c:pt idx="4">
                  <c:v>607</c:v>
                </c:pt>
                <c:pt idx="5">
                  <c:v>2496976</c:v>
                </c:pt>
                <c:pt idx="6">
                  <c:v>8030</c:v>
                </c:pt>
                <c:pt idx="7">
                  <c:v>12120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A-44C2-A0EC-08D999F76E4E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0071641542244263E-3"/>
                  <c:y val="3.26089607883665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3A-44C2-A0EC-08D999F76E4E}"/>
                </c:ext>
              </c:extLst>
            </c:dLbl>
            <c:dLbl>
              <c:idx val="4"/>
              <c:layout>
                <c:manualLayout>
                  <c:x val="0"/>
                  <c:y val="-3.80437875864276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3A-44C2-A0EC-08D999F76E4E}"/>
                </c:ext>
              </c:extLst>
            </c:dLbl>
            <c:dLbl>
              <c:idx val="6"/>
              <c:layout>
                <c:manualLayout>
                  <c:x val="-1.1026141190565633E-16"/>
                  <c:y val="-4.34786143844888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3A-44C2-A0EC-08D999F76E4E}"/>
                </c:ext>
              </c:extLst>
            </c:dLbl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v2'!$A$15:$A$22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v2'!$C$15:$C$22</c:f>
              <c:numCache>
                <c:formatCode>_-* #,##0_-;\-* #,##0_-;_-* "-"??_-;_-@_-</c:formatCode>
                <c:ptCount val="8"/>
                <c:pt idx="0">
                  <c:v>389558</c:v>
                </c:pt>
                <c:pt idx="1">
                  <c:v>116500</c:v>
                </c:pt>
                <c:pt idx="2">
                  <c:v>337554</c:v>
                </c:pt>
                <c:pt idx="3">
                  <c:v>380466</c:v>
                </c:pt>
                <c:pt idx="4">
                  <c:v>2025</c:v>
                </c:pt>
                <c:pt idx="5">
                  <c:v>1101069</c:v>
                </c:pt>
                <c:pt idx="6">
                  <c:v>69676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3A-44C2-A0EC-08D999F76E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Rp3,4 Triliun</a:t>
                </a:r>
              </a:p>
            </c:rich>
          </c:tx>
          <c:layout>
            <c:manualLayout>
              <c:xMode val="edge"/>
              <c:yMode val="edge"/>
              <c:x val="5.0397398074950049E-2"/>
              <c:y val="0.89251388877780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12119990899318"/>
          <c:y val="0.87770298116716672"/>
          <c:w val="0.4059666235755941"/>
          <c:h val="9.0219277880376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 Hasil Underwriting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v2'!$A$26:$A$33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v2'!$B$26:$B$33</c:f>
              <c:numCache>
                <c:formatCode>_-* #,##0_-;\-* #,##0_-;_-* "-"??_-;_-@_-</c:formatCode>
                <c:ptCount val="8"/>
                <c:pt idx="0">
                  <c:v>11902</c:v>
                </c:pt>
                <c:pt idx="1">
                  <c:v>-7144</c:v>
                </c:pt>
                <c:pt idx="2">
                  <c:v>71356</c:v>
                </c:pt>
                <c:pt idx="3">
                  <c:v>41333</c:v>
                </c:pt>
                <c:pt idx="4">
                  <c:v>3726</c:v>
                </c:pt>
                <c:pt idx="5">
                  <c:v>11487</c:v>
                </c:pt>
                <c:pt idx="6">
                  <c:v>487</c:v>
                </c:pt>
                <c:pt idx="7">
                  <c:v>-2042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2-49EB-A90A-C991ABB032C4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v2'!$A$26:$A$33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v2'!$C$26:$C$33</c:f>
              <c:numCache>
                <c:formatCode>_-* #,##0_-;\-* #,##0_-;_-* "-"??_-;_-@_-</c:formatCode>
                <c:ptCount val="8"/>
                <c:pt idx="0">
                  <c:v>1594</c:v>
                </c:pt>
                <c:pt idx="1">
                  <c:v>34288</c:v>
                </c:pt>
                <c:pt idx="2">
                  <c:v>145873</c:v>
                </c:pt>
                <c:pt idx="3">
                  <c:v>70355</c:v>
                </c:pt>
                <c:pt idx="4">
                  <c:v>2400</c:v>
                </c:pt>
                <c:pt idx="5">
                  <c:v>15405</c:v>
                </c:pt>
                <c:pt idx="6">
                  <c:v>3758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2-49EB-A90A-C991ABB032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Rp131,1 Miliar</a:t>
                </a:r>
              </a:p>
            </c:rich>
          </c:tx>
          <c:layout>
            <c:manualLayout>
              <c:xMode val="edge"/>
              <c:yMode val="edge"/>
              <c:x val="5.7403363184898561E-2"/>
              <c:y val="0.87297972549947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150000"/>
          <c:min val="-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13201146383348"/>
          <c:y val="0.85144761511515299"/>
          <c:w val="0.4059666235755941"/>
          <c:h val="8.9931064348334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08-4193-8F6C-A21B9AEA62B0}"/>
                </c:ext>
              </c:extLst>
            </c:dLbl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v2'!$A$37:$A$44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v2'!$B$37:$B$44</c:f>
              <c:numCache>
                <c:formatCode>_-* #,##0_-;\-* #,##0_-;_-* "-"??_-;_-@_-</c:formatCode>
                <c:ptCount val="8"/>
                <c:pt idx="0">
                  <c:v>2780048</c:v>
                </c:pt>
                <c:pt idx="1">
                  <c:v>1576800</c:v>
                </c:pt>
                <c:pt idx="2">
                  <c:v>-2005410</c:v>
                </c:pt>
                <c:pt idx="3">
                  <c:v>1799317</c:v>
                </c:pt>
                <c:pt idx="4">
                  <c:v>897366</c:v>
                </c:pt>
                <c:pt idx="5">
                  <c:v>1188375</c:v>
                </c:pt>
                <c:pt idx="6">
                  <c:v>908116</c:v>
                </c:pt>
                <c:pt idx="7">
                  <c:v>610848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8-4193-8F6C-A21B9AEA62B0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v2'!$A$37:$A$44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v2'!$C$37:$C$44</c:f>
              <c:numCache>
                <c:formatCode>_-* #,##0_-;\-* #,##0_-;_-* "-"??_-;_-@_-</c:formatCode>
                <c:ptCount val="8"/>
                <c:pt idx="0">
                  <c:v>2557083</c:v>
                </c:pt>
                <c:pt idx="1">
                  <c:v>1508956</c:v>
                </c:pt>
                <c:pt idx="2">
                  <c:v>-1127393</c:v>
                </c:pt>
                <c:pt idx="3">
                  <c:v>1606042</c:v>
                </c:pt>
                <c:pt idx="4">
                  <c:v>775497</c:v>
                </c:pt>
                <c:pt idx="5">
                  <c:v>975080</c:v>
                </c:pt>
                <c:pt idx="6">
                  <c:v>335546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8-4193-8F6C-A21B9AEA62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Rp7,7 Triliun</a:t>
                </a:r>
              </a:p>
            </c:rich>
          </c:tx>
          <c:layout>
            <c:manualLayout>
              <c:xMode val="edge"/>
              <c:yMode val="edge"/>
              <c:x val="9.6592825312765071E-2"/>
              <c:y val="0.8784430621742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3000000"/>
          <c:min val="-2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415723842512769"/>
          <c:y val="0.8772878068396186"/>
          <c:w val="0.4059666235755941"/>
          <c:h val="9.0525554585920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 Bersih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v2'!$A$48:$A$55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v2'!$B$48:$B$55</c:f>
              <c:numCache>
                <c:formatCode>_-* #,##0_-;\-* #,##0_-;_-* "-"??_-;_-@_-</c:formatCode>
                <c:ptCount val="8"/>
                <c:pt idx="0">
                  <c:v>6397</c:v>
                </c:pt>
                <c:pt idx="1">
                  <c:v>-5736</c:v>
                </c:pt>
                <c:pt idx="2">
                  <c:v>70585</c:v>
                </c:pt>
                <c:pt idx="3">
                  <c:v>42447</c:v>
                </c:pt>
                <c:pt idx="4">
                  <c:v>3594</c:v>
                </c:pt>
                <c:pt idx="5">
                  <c:v>14263</c:v>
                </c:pt>
                <c:pt idx="6">
                  <c:v>5420</c:v>
                </c:pt>
                <c:pt idx="7">
                  <c:v>-27813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7-4DD5-994A-D09660927EF0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50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v2'!$A$48:$A$55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v2'!$C$48:$C$55</c:f>
              <c:numCache>
                <c:formatCode>_-* #,##0_-;\-* #,##0_-;_-* "-"??_-;_-@_-</c:formatCode>
                <c:ptCount val="8"/>
                <c:pt idx="0">
                  <c:v>15045</c:v>
                </c:pt>
                <c:pt idx="1">
                  <c:v>56563</c:v>
                </c:pt>
                <c:pt idx="2">
                  <c:v>112090</c:v>
                </c:pt>
                <c:pt idx="3">
                  <c:v>65838</c:v>
                </c:pt>
                <c:pt idx="4">
                  <c:v>2102</c:v>
                </c:pt>
                <c:pt idx="5">
                  <c:v>20681</c:v>
                </c:pt>
                <c:pt idx="6">
                  <c:v>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7-4DD5-994A-D09660927E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Rp109,1</a:t>
                </a:r>
                <a:r>
                  <a:rPr lang="en-US" b="1" baseline="0">
                    <a:solidFill>
                      <a:srgbClr val="FF0000"/>
                    </a:solidFill>
                  </a:rPr>
                  <a:t> </a:t>
                </a:r>
                <a:r>
                  <a:rPr lang="en-US" b="1">
                    <a:solidFill>
                      <a:srgbClr val="FF0000"/>
                    </a:solidFill>
                  </a:rPr>
                  <a:t>Miliar</a:t>
                </a:r>
              </a:p>
            </c:rich>
          </c:tx>
          <c:layout>
            <c:manualLayout>
              <c:xMode val="edge"/>
              <c:yMode val="edge"/>
              <c:x val="8.7439165196792817E-2"/>
              <c:y val="0.86202660931080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12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818606923803544"/>
          <c:y val="0.86119448755238781"/>
          <c:w val="0.4059666235755941"/>
          <c:h val="9.0525554585920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RBC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pattFill prst="narVert">
                <a:fgClr>
                  <a:srgbClr val="00206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E92-4E4D-8431-BF280F087A0E}"/>
              </c:ext>
            </c:extLst>
          </c:dPt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v2'!$A$58:$A$66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Jan26 try avg v2'!$B$58:$B$66</c:f>
              <c:numCache>
                <c:formatCode>_-* #,##0_-;\-* #,##0_-;_-* "-"??_-;_-@_-</c:formatCode>
                <c:ptCount val="9"/>
                <c:pt idx="0">
                  <c:v>1.3494999999999999</c:v>
                </c:pt>
                <c:pt idx="1">
                  <c:v>1.6526000000000001</c:v>
                </c:pt>
                <c:pt idx="2">
                  <c:v>-1.7114</c:v>
                </c:pt>
                <c:pt idx="3">
                  <c:v>1.92</c:v>
                </c:pt>
                <c:pt idx="4">
                  <c:v>11.586</c:v>
                </c:pt>
                <c:pt idx="5">
                  <c:v>3.2071000000000001</c:v>
                </c:pt>
                <c:pt idx="6">
                  <c:v>4.4126000000000003</c:v>
                </c:pt>
                <c:pt idx="7">
                  <c:v>7.3023999999999996</c:v>
                </c:pt>
                <c:pt idx="8">
                  <c:v>3.7148500000000002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3-4BDD-902B-9131226228AE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pattFill prst="narVert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92-4E4D-8431-BF280F087A0E}"/>
              </c:ext>
            </c:extLst>
          </c:dPt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v2'!$A$58:$A$66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Jan26 try avg v2'!$C$58:$C$66</c:f>
              <c:numCache>
                <c:formatCode>0.00%</c:formatCode>
                <c:ptCount val="9"/>
                <c:pt idx="0">
                  <c:v>1.3551</c:v>
                </c:pt>
                <c:pt idx="1">
                  <c:v>2.5356999999999998</c:v>
                </c:pt>
                <c:pt idx="2">
                  <c:v>-0.79990000000000006</c:v>
                </c:pt>
                <c:pt idx="3">
                  <c:v>1.78</c:v>
                </c:pt>
                <c:pt idx="4">
                  <c:v>13.0688</c:v>
                </c:pt>
                <c:pt idx="5">
                  <c:v>2.8729</c:v>
                </c:pt>
                <c:pt idx="6">
                  <c:v>3.0503999999999998</c:v>
                </c:pt>
                <c:pt idx="8">
                  <c:v>3.4089999999999998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93-4BDD-902B-913122622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pattFill prst="narVert">
                <a:fgClr>
                  <a:srgbClr val="00206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551-4F1E-AD4A-E68D6D9A6DDC}"/>
              </c:ext>
            </c:extLst>
          </c:dPt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v2'!$A$70:$A$78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Jan26 try avg v2'!$B$70:$B$78</c:f>
              <c:numCache>
                <c:formatCode>_-* #,##0_-;\-* #,##0_-;_-* "-"??_-;_-@_-</c:formatCode>
                <c:ptCount val="9"/>
                <c:pt idx="0">
                  <c:v>1.2028000000000001</c:v>
                </c:pt>
                <c:pt idx="1">
                  <c:v>1.3035000000000001</c:v>
                </c:pt>
                <c:pt idx="2">
                  <c:v>0.92100000000000004</c:v>
                </c:pt>
                <c:pt idx="3">
                  <c:v>1.92</c:v>
                </c:pt>
                <c:pt idx="4">
                  <c:v>3.4201000000000001</c:v>
                </c:pt>
                <c:pt idx="5">
                  <c:v>1.6153</c:v>
                </c:pt>
                <c:pt idx="6">
                  <c:v>1.6113999999999999</c:v>
                </c:pt>
                <c:pt idx="7">
                  <c:v>4.7682000000000002</c:v>
                </c:pt>
                <c:pt idx="8">
                  <c:v>2.0952875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B-46FA-ACB9-A18A1948EBED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pattFill prst="narVert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51-4F1E-AD4A-E68D6D9A6DDC}"/>
              </c:ext>
            </c:extLst>
          </c:dPt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v2'!$A$70:$A$78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Jan26 try avg v2'!$C$70:$C$78</c:f>
              <c:numCache>
                <c:formatCode>0.00%</c:formatCode>
                <c:ptCount val="9"/>
                <c:pt idx="0">
                  <c:v>1.3362000000000001</c:v>
                </c:pt>
                <c:pt idx="1">
                  <c:v>1.3381000000000001</c:v>
                </c:pt>
                <c:pt idx="2">
                  <c:v>1.052</c:v>
                </c:pt>
                <c:pt idx="3" formatCode="0%">
                  <c:v>1.84</c:v>
                </c:pt>
                <c:pt idx="4">
                  <c:v>3.8626999999999998</c:v>
                </c:pt>
                <c:pt idx="5">
                  <c:v>1.5593999999999999</c:v>
                </c:pt>
                <c:pt idx="6">
                  <c:v>1.5616000000000001</c:v>
                </c:pt>
                <c:pt idx="8">
                  <c:v>1.7928571428571429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B-46FA-ACB9-A18A1948EB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Aset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 v2'!$B$2</c:f>
              <c:strCache>
                <c:ptCount val="1"/>
                <c:pt idx="0">
                  <c:v> Januari 2026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v2'!$A$83:$A$90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v2'!$B$83:$B$90</c:f>
              <c:numCache>
                <c:formatCode>_-* #,##0_-;\-* #,##0_-;_-* "-"??_-;_-@_-</c:formatCode>
                <c:ptCount val="8"/>
                <c:pt idx="0">
                  <c:v>12972004</c:v>
                </c:pt>
                <c:pt idx="1">
                  <c:v>5622306</c:v>
                </c:pt>
                <c:pt idx="2">
                  <c:v>6429215</c:v>
                </c:pt>
                <c:pt idx="3">
                  <c:v>7230344</c:v>
                </c:pt>
                <c:pt idx="4">
                  <c:v>1219165</c:v>
                </c:pt>
                <c:pt idx="5">
                  <c:v>4561072</c:v>
                </c:pt>
                <c:pt idx="6">
                  <c:v>2086949</c:v>
                </c:pt>
                <c:pt idx="7">
                  <c:v>772955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879-BC6A-CD466ED86116}"/>
            </c:ext>
          </c:extLst>
        </c:ser>
        <c:ser>
          <c:idx val="1"/>
          <c:order val="1"/>
          <c:tx>
            <c:strRef>
              <c:f>'MU Jan26 try avg v2'!$C$2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v2'!$A$83:$A$90</c:f>
              <c:strCache>
                <c:ptCount val="8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PT Orion Reasuransi Indonesia</c:v>
                </c:pt>
              </c:strCache>
            </c:strRef>
          </c:cat>
          <c:val>
            <c:numRef>
              <c:f>'MU Jan26 try avg v2'!$C$83:$C$90</c:f>
              <c:numCache>
                <c:formatCode>_-* #,##0_-;\-* #,##0_-;_-* "-"??_-;_-@_-</c:formatCode>
                <c:ptCount val="8"/>
                <c:pt idx="0">
                  <c:v>13572403</c:v>
                </c:pt>
                <c:pt idx="1">
                  <c:v>5033338</c:v>
                </c:pt>
                <c:pt idx="2">
                  <c:v>8259199</c:v>
                </c:pt>
                <c:pt idx="3">
                  <c:v>6272720</c:v>
                </c:pt>
                <c:pt idx="4">
                  <c:v>1033972</c:v>
                </c:pt>
                <c:pt idx="5">
                  <c:v>4372746</c:v>
                </c:pt>
                <c:pt idx="6">
                  <c:v>877531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E-4879-BC6A-CD466ED86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10 Besar Aset Asuransi Umum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899557405357177"/>
          <c:y val="0.13578491149164532"/>
          <c:w val="0.71494960260401419"/>
          <c:h val="0.7951079725403169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6B3-4406-B870-5A861283A2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6B3-4406-B870-5A861283A2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6B3-4406-B870-5A861283A2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6B3-4406-B870-5A861283A2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6B3-4406-B870-5A861283A2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6B3-4406-B870-5A861283A2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36B3-4406-B870-5A861283A2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36B3-4406-B870-5A861283A2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36B3-4406-B870-5A861283A28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36B3-4406-B870-5A861283A283}"/>
              </c:ext>
            </c:extLst>
          </c:dPt>
          <c:dLbls>
            <c:dLbl>
              <c:idx val="5"/>
              <c:layout>
                <c:manualLayout>
                  <c:x val="0"/>
                  <c:y val="1.2003020602665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B3-4406-B870-5A861283A283}"/>
                </c:ext>
              </c:extLst>
            </c:dLbl>
            <c:dLbl>
              <c:idx val="6"/>
              <c:layout>
                <c:manualLayout>
                  <c:x val="0"/>
                  <c:y val="4.4011075543105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6B3-4406-B870-5A861283A283}"/>
                </c:ext>
              </c:extLst>
            </c:dLbl>
            <c:dLbl>
              <c:idx val="8"/>
              <c:layout>
                <c:manualLayout>
                  <c:x val="0"/>
                  <c:y val="1.60040274702199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6B3-4406-B870-5A861283A283}"/>
                </c:ext>
              </c:extLst>
            </c:dLbl>
            <c:spPr>
              <a:solidFill>
                <a:srgbClr val="002060">
                  <a:alpha val="57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v2'!$H$4:$H$13</c:f>
              <c:strCache>
                <c:ptCount val="10"/>
                <c:pt idx="0">
                  <c:v>PT Asuransi Astra Buana</c:v>
                </c:pt>
                <c:pt idx="1">
                  <c:v>PT Asuransi Tugu Pratama Indonesia Tbk.</c:v>
                </c:pt>
                <c:pt idx="2">
                  <c:v>PT Asuransi Kredit Indonesia</c:v>
                </c:pt>
                <c:pt idx="3">
                  <c:v>PT Asuransi Central Asia</c:v>
                </c:pt>
                <c:pt idx="4">
                  <c:v>PT Asuransi Kerugian Jasa Raharja</c:v>
                </c:pt>
                <c:pt idx="5">
                  <c:v>PT Asuransi Jasa Indonesia</c:v>
                </c:pt>
                <c:pt idx="6">
                  <c:v>PT Asuransi Sinar Mas</c:v>
                </c:pt>
                <c:pt idx="7">
                  <c:v>PT Zurich Asuransi Indonesia Tbk.</c:v>
                </c:pt>
                <c:pt idx="8">
                  <c:v>PT BRI Asuransi Indonesia</c:v>
                </c:pt>
                <c:pt idx="9">
                  <c:v>PT Asuransi Multi Artha Guna Tbk.</c:v>
                </c:pt>
              </c:strCache>
            </c:strRef>
          </c:cat>
          <c:val>
            <c:numRef>
              <c:f>'MU Jan26 try avg v2'!$I$4:$I$13</c:f>
              <c:numCache>
                <c:formatCode>#,##0</c:formatCode>
                <c:ptCount val="10"/>
                <c:pt idx="0">
                  <c:v>22801467</c:v>
                </c:pt>
                <c:pt idx="1">
                  <c:v>20868954</c:v>
                </c:pt>
                <c:pt idx="2">
                  <c:v>18658255</c:v>
                </c:pt>
                <c:pt idx="3">
                  <c:v>17550022.379999999</c:v>
                </c:pt>
                <c:pt idx="4">
                  <c:v>16607872</c:v>
                </c:pt>
                <c:pt idx="5">
                  <c:v>15442807</c:v>
                </c:pt>
                <c:pt idx="6">
                  <c:v>15437434</c:v>
                </c:pt>
                <c:pt idx="7">
                  <c:v>9971947</c:v>
                </c:pt>
                <c:pt idx="8">
                  <c:v>8622033</c:v>
                </c:pt>
                <c:pt idx="9">
                  <c:v>6061875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B3-4406-B870-5A861283A2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616065840"/>
        <c:axId val="616051440"/>
        <c:axId val="0"/>
      </c:bar3DChart>
      <c:catAx>
        <c:axId val="61606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rgbClr val="FF0000"/>
                    </a:solidFill>
                  </a:rPr>
                  <a:t>Total</a:t>
                </a:r>
                <a:r>
                  <a:rPr lang="en-US" sz="900" baseline="0">
                    <a:solidFill>
                      <a:srgbClr val="FF0000"/>
                    </a:solidFill>
                  </a:rPr>
                  <a:t> = Rp</a:t>
                </a:r>
                <a:r>
                  <a:rPr lang="id-ID" sz="900" b="0" i="0" u="none" strike="noStrike" baseline="0">
                    <a:solidFill>
                      <a:srgbClr val="FF0000"/>
                    </a:solidFill>
                    <a:effectLst/>
                  </a:rPr>
                  <a:t>2</a:t>
                </a:r>
                <a:r>
                  <a:rPr lang="en-US" sz="900" b="0" i="0" u="none" strike="noStrike" baseline="0">
                    <a:solidFill>
                      <a:srgbClr val="FF0000"/>
                    </a:solidFill>
                    <a:effectLst/>
                  </a:rPr>
                  <a:t>49,2 Triliun</a:t>
                </a:r>
                <a:endParaRPr lang="id-ID" sz="900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3497756533197064"/>
              <c:y val="0.91418419603039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51440"/>
        <c:crosses val="autoZero"/>
        <c:auto val="1"/>
        <c:lblAlgn val="ctr"/>
        <c:lblOffset val="100"/>
        <c:noMultiLvlLbl val="0"/>
      </c:catAx>
      <c:valAx>
        <c:axId val="61605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dalam juta rupiah</a:t>
                </a:r>
                <a:endParaRPr lang="id-ID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 Besar Ekuitas Asuransi Umum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310711934088242"/>
          <c:y val="0.13586792077667215"/>
          <c:w val="0.71876037194445541"/>
          <c:h val="0.7949827160554815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v2'!$H$17:$H$26</c:f>
              <c:strCache>
                <c:ptCount val="10"/>
                <c:pt idx="0">
                  <c:v>PT Asuransi Kerugian Jasa Raharja</c:v>
                </c:pt>
                <c:pt idx="1">
                  <c:v>PT Asuransi Astra Buana</c:v>
                </c:pt>
                <c:pt idx="2">
                  <c:v>PT Asuransi Central Asia</c:v>
                </c:pt>
                <c:pt idx="3">
                  <c:v>PT Asuransi Sinar Mas</c:v>
                </c:pt>
                <c:pt idx="4">
                  <c:v>PT Asuransi Tugu Pratama Indonesia Tbk.</c:v>
                </c:pt>
                <c:pt idx="5">
                  <c:v>PT Zurich Asuransi Indonesia Tbk.</c:v>
                </c:pt>
                <c:pt idx="6">
                  <c:v>PT Asuransi Kredit Indonesia</c:v>
                </c:pt>
                <c:pt idx="7">
                  <c:v>PT Asuransi Jasa Indonesia</c:v>
                </c:pt>
                <c:pt idx="8">
                  <c:v>PT BRI Asuransi Indonesia</c:v>
                </c:pt>
                <c:pt idx="9">
                  <c:v>PT Asuransi Multi Artha Guna Tbk.</c:v>
                </c:pt>
              </c:strCache>
            </c:strRef>
          </c:cat>
          <c:val>
            <c:numRef>
              <c:f>'MU Jan26 try avg v2'!$I$17:$I$26</c:f>
              <c:numCache>
                <c:formatCode>#,##0</c:formatCode>
                <c:ptCount val="10"/>
                <c:pt idx="0">
                  <c:v>12684265</c:v>
                </c:pt>
                <c:pt idx="1">
                  <c:v>9313346</c:v>
                </c:pt>
                <c:pt idx="2">
                  <c:v>8517372.3399999999</c:v>
                </c:pt>
                <c:pt idx="3">
                  <c:v>6897480</c:v>
                </c:pt>
                <c:pt idx="4">
                  <c:v>6218334</c:v>
                </c:pt>
                <c:pt idx="5">
                  <c:v>4385035</c:v>
                </c:pt>
                <c:pt idx="6">
                  <c:v>4320942</c:v>
                </c:pt>
                <c:pt idx="7">
                  <c:v>3283408</c:v>
                </c:pt>
                <c:pt idx="8">
                  <c:v>3021491</c:v>
                </c:pt>
                <c:pt idx="9">
                  <c:v>2161850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8-42BB-B723-2B666CFE83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Total = Rp91.774</a:t>
                </a:r>
                <a:r>
                  <a:rPr lang="en-US" baseline="0">
                    <a:solidFill>
                      <a:srgbClr val="FF0000"/>
                    </a:solidFill>
                  </a:rPr>
                  <a:t> Triliun</a:t>
                </a:r>
                <a:endParaRPr lang="id-ID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0384810946028089"/>
              <c:y val="0.91197603117930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581451034314016"/>
          <c:y val="0.13586777481220508"/>
          <c:w val="0.76424572747326125"/>
          <c:h val="0.7949827160554815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v2'!$H$30:$H$39</c:f>
              <c:strCache>
                <c:ptCount val="10"/>
                <c:pt idx="0">
                  <c:v>PT Asuransi Sinar Mas</c:v>
                </c:pt>
                <c:pt idx="1">
                  <c:v>PT Asuransi Astra Buana</c:v>
                </c:pt>
                <c:pt idx="2">
                  <c:v>PT Lippo General Insurance Tbk.</c:v>
                </c:pt>
                <c:pt idx="3">
                  <c:v>PT Zurich Asuransi Indonesia Tbk.</c:v>
                </c:pt>
                <c:pt idx="4">
                  <c:v>PT Asuransi Central Asia</c:v>
                </c:pt>
                <c:pt idx="5">
                  <c:v>PT MNC Asuransi Indonesia</c:v>
                </c:pt>
                <c:pt idx="6">
                  <c:v>PT Asuransi Tugu Pratama Indonesia Tbk.</c:v>
                </c:pt>
                <c:pt idx="7">
                  <c:v>PT Asuransi Multi Artha Guna Tbk.</c:v>
                </c:pt>
                <c:pt idx="8">
                  <c:v>PT Asuransi Kredit Indonesia</c:v>
                </c:pt>
                <c:pt idx="9">
                  <c:v>PT Asuransi Kerugian Jasa Raharja</c:v>
                </c:pt>
              </c:strCache>
            </c:strRef>
          </c:cat>
          <c:val>
            <c:numRef>
              <c:f>'MU Jan26 try avg v2'!$I$30:$I$39</c:f>
              <c:numCache>
                <c:formatCode>#,##0</c:formatCode>
                <c:ptCount val="10"/>
                <c:pt idx="0">
                  <c:v>2750817</c:v>
                </c:pt>
                <c:pt idx="1">
                  <c:v>1710575</c:v>
                </c:pt>
                <c:pt idx="2">
                  <c:v>772602</c:v>
                </c:pt>
                <c:pt idx="3">
                  <c:v>595936</c:v>
                </c:pt>
                <c:pt idx="4">
                  <c:v>442125.43</c:v>
                </c:pt>
                <c:pt idx="5">
                  <c:v>415959</c:v>
                </c:pt>
                <c:pt idx="6">
                  <c:v>398078</c:v>
                </c:pt>
                <c:pt idx="7">
                  <c:v>375075</c:v>
                </c:pt>
                <c:pt idx="8">
                  <c:v>360608</c:v>
                </c:pt>
                <c:pt idx="9">
                  <c:v>353825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A-42A4-BDF3-8D3A700DAB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FF0000"/>
                    </a:solidFill>
                  </a:rPr>
                  <a:t>Total = Rp11.986 Triliun</a:t>
                </a:r>
              </a:p>
            </c:rich>
          </c:tx>
          <c:layout>
            <c:manualLayout>
              <c:xMode val="edge"/>
              <c:yMode val="edge"/>
              <c:x val="6.736072754757165E-2"/>
              <c:y val="0.92392186182902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Hasil Underwriting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744205746797575"/>
          <c:y val="0.13586792077667215"/>
          <c:w val="0.76442551659314995"/>
          <c:h val="0.7949827160554815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v2'!$H$43:$H$52</c:f>
              <c:strCache>
                <c:ptCount val="10"/>
                <c:pt idx="0">
                  <c:v>PT Asuransi Astra Buana</c:v>
                </c:pt>
                <c:pt idx="1">
                  <c:v>PT Asuransi Simas Insurtech</c:v>
                </c:pt>
                <c:pt idx="2">
                  <c:v>PT BRI Asuransi Indonesia</c:v>
                </c:pt>
                <c:pt idx="3">
                  <c:v>PT Asuransi Sinar Mas</c:v>
                </c:pt>
                <c:pt idx="4">
                  <c:v>PT Asuransi Kerugian Jasa Raharja</c:v>
                </c:pt>
                <c:pt idx="5">
                  <c:v>PT Asuransi Kredit Indonesia</c:v>
                </c:pt>
                <c:pt idx="6">
                  <c:v>PT Zurich Asuransi Indonesia Tbk.</c:v>
                </c:pt>
                <c:pt idx="7">
                  <c:v>PT Asuransi Central Asia</c:v>
                </c:pt>
                <c:pt idx="8">
                  <c:v>PT Asuransi Umum Seainsure</c:v>
                </c:pt>
                <c:pt idx="9">
                  <c:v>PT Lippo General Insurance Tbk.</c:v>
                </c:pt>
              </c:strCache>
            </c:strRef>
          </c:cat>
          <c:val>
            <c:numRef>
              <c:f>'MU Jan26 try avg v2'!$I$43:$I$52</c:f>
              <c:numCache>
                <c:formatCode>#,##0</c:formatCode>
                <c:ptCount val="10"/>
                <c:pt idx="0">
                  <c:v>176062</c:v>
                </c:pt>
                <c:pt idx="1">
                  <c:v>165888</c:v>
                </c:pt>
                <c:pt idx="2">
                  <c:v>130552</c:v>
                </c:pt>
                <c:pt idx="3">
                  <c:v>113001</c:v>
                </c:pt>
                <c:pt idx="4">
                  <c:v>81627</c:v>
                </c:pt>
                <c:pt idx="5">
                  <c:v>77736</c:v>
                </c:pt>
                <c:pt idx="6">
                  <c:v>72817</c:v>
                </c:pt>
                <c:pt idx="7">
                  <c:v>67841.48</c:v>
                </c:pt>
                <c:pt idx="8">
                  <c:v>67735</c:v>
                </c:pt>
                <c:pt idx="9">
                  <c:v>59173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F-4342-87D4-1C89D5BC86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FF0000"/>
                    </a:solidFill>
                  </a:rPr>
                  <a:t>Total = Rp1.774 Triliun </a:t>
                </a:r>
                <a:endParaRPr lang="id-ID" sz="1000" b="0" i="0" u="none" strike="noStrike" kern="1200" baseline="0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7.4313066388409912E-2"/>
              <c:y val="0.91488242697475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Solvabilitas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v2'!$H$55:$H$65</c:f>
              <c:strCache>
                <c:ptCount val="11"/>
                <c:pt idx="0">
                  <c:v>Rata-Rata</c:v>
                </c:pt>
                <c:pt idx="1">
                  <c:v>PT Victoria Insurance Tbk.</c:v>
                </c:pt>
                <c:pt idx="2">
                  <c:v>PT Asuransi Kerugian Jasa Raharja</c:v>
                </c:pt>
                <c:pt idx="3">
                  <c:v>PT Asuransi Sumit Oto</c:v>
                </c:pt>
                <c:pt idx="4">
                  <c:v>PT Asuransi Digital Bersama Tbk.</c:v>
                </c:pt>
                <c:pt idx="5">
                  <c:v>PT Asuransi Staco Mandiri</c:v>
                </c:pt>
                <c:pt idx="6">
                  <c:v>PT Asuransi Bina Dana Arta Tbk.</c:v>
                </c:pt>
                <c:pt idx="7">
                  <c:v>PT AIG Insurance Indonesia</c:v>
                </c:pt>
                <c:pt idx="8">
                  <c:v>PT Chubb General Insurance Indonesia</c:v>
                </c:pt>
                <c:pt idx="9">
                  <c:v>PT Meritz Korindo Insurance</c:v>
                </c:pt>
                <c:pt idx="10">
                  <c:v>PT Asuransi Allianz Utama Indonesia</c:v>
                </c:pt>
              </c:strCache>
            </c:strRef>
          </c:cat>
          <c:val>
            <c:numRef>
              <c:f>'MU Jan26 try avg v2'!$I$55:$I$65</c:f>
              <c:numCache>
                <c:formatCode>0%</c:formatCode>
                <c:ptCount val="11"/>
                <c:pt idx="0">
                  <c:v>3.6469723076923</c:v>
                </c:pt>
                <c:pt idx="1">
                  <c:v>19.63</c:v>
                </c:pt>
                <c:pt idx="2" formatCode="0.00%">
                  <c:v>8.1616</c:v>
                </c:pt>
                <c:pt idx="3">
                  <c:v>8.0299999999999994</c:v>
                </c:pt>
                <c:pt idx="4">
                  <c:v>7.73</c:v>
                </c:pt>
                <c:pt idx="5" formatCode="0.00%">
                  <c:v>7.2218</c:v>
                </c:pt>
                <c:pt idx="6" formatCode="0.00%">
                  <c:v>6.6761999999999997</c:v>
                </c:pt>
                <c:pt idx="7">
                  <c:v>6.54</c:v>
                </c:pt>
                <c:pt idx="8">
                  <c:v>6.32</c:v>
                </c:pt>
                <c:pt idx="9" formatCode="0.00%">
                  <c:v>6.1885000000000003</c:v>
                </c:pt>
                <c:pt idx="10" formatCode="0.0%">
                  <c:v>5.9539999999999997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A-4007-803D-42E04B6F31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v2'!$H$68:$H$78</c:f>
              <c:strCache>
                <c:ptCount val="11"/>
                <c:pt idx="0">
                  <c:v>Rata-Rata</c:v>
                </c:pt>
                <c:pt idx="1">
                  <c:v>PT Victoria Insurance Tbk.</c:v>
                </c:pt>
                <c:pt idx="2">
                  <c:v>PT Asuransi Kerugian Jasa Raharja</c:v>
                </c:pt>
                <c:pt idx="3">
                  <c:v>PT Asuransi Tugu Pratama Indonesia Tbk.</c:v>
                </c:pt>
                <c:pt idx="4">
                  <c:v>PT Asuransi Bina Dana Arta Tbk.</c:v>
                </c:pt>
                <c:pt idx="5">
                  <c:v>PT Asuransi Sahabat Artha Proteksi</c:v>
                </c:pt>
                <c:pt idx="6">
                  <c:v>PT BRI Asuransi Indonesia</c:v>
                </c:pt>
                <c:pt idx="7">
                  <c:v>PT Meritz Korindo Insurance</c:v>
                </c:pt>
                <c:pt idx="8">
                  <c:v>PT Asuransi Jasa Tania Tbk.</c:v>
                </c:pt>
                <c:pt idx="9">
                  <c:v>PT Chubb General Insurance Indonesia</c:v>
                </c:pt>
                <c:pt idx="10">
                  <c:v>PT Asuransi Allianz Utama Indonesia</c:v>
                </c:pt>
              </c:strCache>
            </c:strRef>
          </c:cat>
          <c:val>
            <c:numRef>
              <c:f>'MU Jan26 try avg v2'!$I$68:$I$78</c:f>
              <c:numCache>
                <c:formatCode>0%</c:formatCode>
                <c:ptCount val="11"/>
                <c:pt idx="0">
                  <c:v>1.6256999999999999</c:v>
                </c:pt>
                <c:pt idx="1">
                  <c:v>3.47</c:v>
                </c:pt>
                <c:pt idx="2" formatCode="0.00%">
                  <c:v>3.0956000000000001</c:v>
                </c:pt>
                <c:pt idx="3" formatCode="0.00%">
                  <c:v>2.3008000000000002</c:v>
                </c:pt>
                <c:pt idx="4" formatCode="0.00%">
                  <c:v>2.2905000000000002</c:v>
                </c:pt>
                <c:pt idx="5" formatCode="0.00%">
                  <c:v>2.1798000000000002</c:v>
                </c:pt>
                <c:pt idx="6" formatCode="0.00%">
                  <c:v>2.1434000000000002</c:v>
                </c:pt>
                <c:pt idx="7">
                  <c:v>2.11</c:v>
                </c:pt>
                <c:pt idx="8">
                  <c:v>2.1</c:v>
                </c:pt>
                <c:pt idx="9">
                  <c:v>2.08</c:v>
                </c:pt>
                <c:pt idx="10" formatCode="0.0%">
                  <c:v>2.0579999999999998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4-42B5-A36F-2352D1E09A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 Besar Aset Asuransi</a:t>
            </a:r>
            <a:r>
              <a:rPr lang="en-US" sz="1200" baseline="0"/>
              <a:t> Jiwa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-5.9387906472753683E-17"/>
                  <c:y val="1.985303543011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BD-4835-AEF8-454BB0B97506}"/>
                </c:ext>
              </c:extLst>
            </c:dLbl>
            <c:dLbl>
              <c:idx val="2"/>
              <c:layout>
                <c:manualLayout>
                  <c:x val="0"/>
                  <c:y val="3.639723162187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BD-4835-AEF8-454BB0B97506}"/>
                </c:ext>
              </c:extLst>
            </c:dLbl>
            <c:dLbl>
              <c:idx val="3"/>
              <c:layout>
                <c:manualLayout>
                  <c:x val="0"/>
                  <c:y val="-2.977955314516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5BD-4835-AEF8-454BB0B97506}"/>
                </c:ext>
              </c:extLst>
            </c:dLbl>
            <c:dLbl>
              <c:idx val="4"/>
              <c:layout>
                <c:manualLayout>
                  <c:x val="-5.9387906472753683E-17"/>
                  <c:y val="6.61767847670423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BD-4835-AEF8-454BB0B97506}"/>
                </c:ext>
              </c:extLst>
            </c:dLbl>
            <c:dLbl>
              <c:idx val="5"/>
              <c:layout>
                <c:manualLayout>
                  <c:x val="-1.1877581294550737E-16"/>
                  <c:y val="6.61767847670420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BD-4835-AEF8-454BB0B97506}"/>
                </c:ext>
              </c:extLst>
            </c:dLbl>
            <c:dLbl>
              <c:idx val="6"/>
              <c:layout>
                <c:manualLayout>
                  <c:x val="0"/>
                  <c:y val="-9.92651771505631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BD-4835-AEF8-454BB0B97506}"/>
                </c:ext>
              </c:extLst>
            </c:dLbl>
            <c:dLbl>
              <c:idx val="7"/>
              <c:layout>
                <c:manualLayout>
                  <c:x val="0"/>
                  <c:y val="2.316187466846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BD-4835-AEF8-454BB0B97506}"/>
                </c:ext>
              </c:extLst>
            </c:dLbl>
            <c:dLbl>
              <c:idx val="8"/>
              <c:layout>
                <c:manualLayout>
                  <c:x val="0"/>
                  <c:y val="4.6323749336929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BD-4835-AEF8-454BB0B97506}"/>
                </c:ext>
              </c:extLst>
            </c:dLbl>
            <c:dLbl>
              <c:idx val="9"/>
              <c:layout>
                <c:manualLayout>
                  <c:x val="0"/>
                  <c:y val="6.2867945528690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BD-4835-AEF8-454BB0B97506}"/>
                </c:ext>
              </c:extLst>
            </c:dLbl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v2'!$M$4:$M$13</c:f>
              <c:strCache>
                <c:ptCount val="10"/>
                <c:pt idx="0">
                  <c:v> PT Asuransi Jiwa Manulife Indonesia </c:v>
                </c:pt>
                <c:pt idx="1">
                  <c:v> PT Indolife Pensiontama </c:v>
                </c:pt>
                <c:pt idx="2">
                  <c:v> PT Prudential Life Assurance </c:v>
                </c:pt>
                <c:pt idx="3">
                  <c:v> PT AXA Mandiri Financial Services </c:v>
                </c:pt>
                <c:pt idx="4">
                  <c:v> PT AIA Financial </c:v>
                </c:pt>
                <c:pt idx="5">
                  <c:v> PT Asuransi Allianz Life Indonesia </c:v>
                </c:pt>
                <c:pt idx="6">
                  <c:v> PT Asuransi Jiwa IFG </c:v>
                </c:pt>
                <c:pt idx="7">
                  <c:v> PT BNI Life Insurance </c:v>
                </c:pt>
                <c:pt idx="8">
                  <c:v> PT Asuransi BRI Life </c:v>
                </c:pt>
                <c:pt idx="9">
                  <c:v> PT Asuransi Jiwa Sequis Life </c:v>
                </c:pt>
              </c:strCache>
            </c:strRef>
          </c:cat>
          <c:val>
            <c:numRef>
              <c:f>'MU Jan26 try avg v2'!$N$4:$N$13</c:f>
              <c:numCache>
                <c:formatCode>_(* #,##0_);_(* \(#,##0\);_(* "-"??_);_(@_)</c:formatCode>
                <c:ptCount val="10"/>
                <c:pt idx="0">
                  <c:v>67581784</c:v>
                </c:pt>
                <c:pt idx="1">
                  <c:v>65633896</c:v>
                </c:pt>
                <c:pt idx="2">
                  <c:v>62215020</c:v>
                </c:pt>
                <c:pt idx="3">
                  <c:v>43944136</c:v>
                </c:pt>
                <c:pt idx="4">
                  <c:v>43177402</c:v>
                </c:pt>
                <c:pt idx="5">
                  <c:v>37890261</c:v>
                </c:pt>
                <c:pt idx="6">
                  <c:v>30028776.379999999</c:v>
                </c:pt>
                <c:pt idx="7">
                  <c:v>29688346</c:v>
                </c:pt>
                <c:pt idx="8">
                  <c:v>27519452</c:v>
                </c:pt>
                <c:pt idx="9">
                  <c:v>23131460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D-4835-AEF8-454BB0B975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</a:t>
                </a:r>
                <a:r>
                  <a:rPr lang="en-US" b="1" baseline="0">
                    <a:solidFill>
                      <a:srgbClr val="FF0000"/>
                    </a:solidFill>
                  </a:rPr>
                  <a:t> = Rp617,03 Triliun</a:t>
                </a:r>
                <a:endParaRPr lang="id-ID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6002164006380805E-2"/>
              <c:y val="0.89943994639159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v2'!$M$17:$M$26</c:f>
              <c:strCache>
                <c:ptCount val="10"/>
                <c:pt idx="0">
                  <c:v> PT Indolife Pensiontama </c:v>
                </c:pt>
                <c:pt idx="1">
                  <c:v> PT Asuransi Jiwa Manulife Indonesia </c:v>
                </c:pt>
                <c:pt idx="2">
                  <c:v> PT Asuransi BRI Life </c:v>
                </c:pt>
                <c:pt idx="3">
                  <c:v> PT Asuransi Jiwa Sequis Life </c:v>
                </c:pt>
                <c:pt idx="4">
                  <c:v> PT AIA Financial </c:v>
                </c:pt>
                <c:pt idx="5">
                  <c:v> PT MSIG Life Insurance Indonesia Tbk. </c:v>
                </c:pt>
                <c:pt idx="6">
                  <c:v> PT Prudential Life Assurance </c:v>
                </c:pt>
                <c:pt idx="7">
                  <c:v> PT Sun Life Financial Indonesia </c:v>
                </c:pt>
                <c:pt idx="8">
                  <c:v> PT Asuransi Allianz Life Indonesia </c:v>
                </c:pt>
                <c:pt idx="9">
                  <c:v> PT BNI Life Insurance </c:v>
                </c:pt>
              </c:strCache>
            </c:strRef>
          </c:cat>
          <c:val>
            <c:numRef>
              <c:f>'MU Jan26 try avg v2'!$N$17:$N$26</c:f>
              <c:numCache>
                <c:formatCode>_(* #,##0_);_(* \(#,##0\);_(* "-"??_);_(@_)</c:formatCode>
                <c:ptCount val="10"/>
                <c:pt idx="0">
                  <c:v>20542695</c:v>
                </c:pt>
                <c:pt idx="1">
                  <c:v>16244253</c:v>
                </c:pt>
                <c:pt idx="2">
                  <c:v>11633501</c:v>
                </c:pt>
                <c:pt idx="3">
                  <c:v>9547104</c:v>
                </c:pt>
                <c:pt idx="4">
                  <c:v>8980958</c:v>
                </c:pt>
                <c:pt idx="5">
                  <c:v>7764902</c:v>
                </c:pt>
                <c:pt idx="6">
                  <c:v>7737193</c:v>
                </c:pt>
                <c:pt idx="7">
                  <c:v>7734754</c:v>
                </c:pt>
                <c:pt idx="8">
                  <c:v>7012069</c:v>
                </c:pt>
                <c:pt idx="9">
                  <c:v>6842973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C-4E12-B8A4-EF1C0DE3BF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Rp147,2 Triliun</a:t>
                </a:r>
              </a:p>
            </c:rich>
          </c:tx>
          <c:layout>
            <c:manualLayout>
              <c:xMode val="edge"/>
              <c:yMode val="edge"/>
              <c:x val="0.12198855643827107"/>
              <c:y val="0.87463216650454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Pendapatan Premi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v2'!$M$30:$M$39</c:f>
              <c:strCache>
                <c:ptCount val="10"/>
                <c:pt idx="0">
                  <c:v> PT Prudential Life Assurance </c:v>
                </c:pt>
                <c:pt idx="1">
                  <c:v> PT Asuransi Allianz Life Indonesia </c:v>
                </c:pt>
                <c:pt idx="2">
                  <c:v> PT Indolife Pensiontama </c:v>
                </c:pt>
                <c:pt idx="3">
                  <c:v> PT BNI Life Insurance </c:v>
                </c:pt>
                <c:pt idx="4">
                  <c:v> PT Asuransi Jiwa Inhealth Indonesia </c:v>
                </c:pt>
                <c:pt idx="5">
                  <c:v> PT AIA Financial </c:v>
                </c:pt>
                <c:pt idx="6">
                  <c:v> PT Asuransi Jiwa Manulife Indonesia </c:v>
                </c:pt>
                <c:pt idx="7">
                  <c:v> PT AXA Mandiri Financial Services </c:v>
                </c:pt>
                <c:pt idx="8">
                  <c:v> PT Asuransi BRI Life </c:v>
                </c:pt>
                <c:pt idx="9">
                  <c:v> PT Asuransi Jiwa Astra </c:v>
                </c:pt>
              </c:strCache>
            </c:strRef>
          </c:cat>
          <c:val>
            <c:numRef>
              <c:f>'MU Jan26 try avg v2'!$N$30:$N$39</c:f>
              <c:numCache>
                <c:formatCode>_(* #,##0_);_(* \(#,##0\);_(* "-"??_);_(@_)</c:formatCode>
                <c:ptCount val="10"/>
                <c:pt idx="0">
                  <c:v>1868524</c:v>
                </c:pt>
                <c:pt idx="1">
                  <c:v>1603290</c:v>
                </c:pt>
                <c:pt idx="2">
                  <c:v>1201012</c:v>
                </c:pt>
                <c:pt idx="3">
                  <c:v>1158058</c:v>
                </c:pt>
                <c:pt idx="4">
                  <c:v>889819</c:v>
                </c:pt>
                <c:pt idx="5">
                  <c:v>853913</c:v>
                </c:pt>
                <c:pt idx="6">
                  <c:v>824494</c:v>
                </c:pt>
                <c:pt idx="7">
                  <c:v>807599</c:v>
                </c:pt>
                <c:pt idx="8">
                  <c:v>642520</c:v>
                </c:pt>
                <c:pt idx="9">
                  <c:v>619598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3-43A3-85F4-0C457786E9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</a:t>
                </a:r>
                <a:r>
                  <a:rPr lang="en-US" b="1" baseline="0">
                    <a:solidFill>
                      <a:srgbClr val="FF0000"/>
                    </a:solidFill>
                  </a:rPr>
                  <a:t> = Rp16,2 Triliun</a:t>
                </a:r>
                <a:endParaRPr lang="id-ID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062075743011115"/>
              <c:y val="0.89326101975648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</a:t>
                </a:r>
                <a:r>
                  <a:rPr lang="en-US" baseline="0"/>
                  <a:t>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 Komprehensif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v2'!$M$43:$M$52</c:f>
              <c:strCache>
                <c:ptCount val="10"/>
                <c:pt idx="0">
                  <c:v> PT AIA Financial </c:v>
                </c:pt>
                <c:pt idx="1">
                  <c:v> PT Indolife Pensiontama </c:v>
                </c:pt>
                <c:pt idx="2">
                  <c:v> PT Prudential Life Assurance </c:v>
                </c:pt>
                <c:pt idx="3">
                  <c:v> PT AXA Mandiri Financial Services </c:v>
                </c:pt>
                <c:pt idx="4">
                  <c:v> PT Asuransi Allianz Life Indonesia </c:v>
                </c:pt>
                <c:pt idx="5">
                  <c:v> PT Asuransi Jiwa Central Asia Raya </c:v>
                </c:pt>
                <c:pt idx="6">
                  <c:v> PT Asuransi Jiwa Generali Indonesia </c:v>
                </c:pt>
                <c:pt idx="7">
                  <c:v> PT Asuransi Jiwa Inhealth Indonesia </c:v>
                </c:pt>
                <c:pt idx="8">
                  <c:v> PT Asuransi Jiwa BCA </c:v>
                </c:pt>
                <c:pt idx="9">
                  <c:v> PT Asuransi BRI Life </c:v>
                </c:pt>
              </c:strCache>
            </c:strRef>
          </c:cat>
          <c:val>
            <c:numRef>
              <c:f>'MU Jan26 try avg v2'!$N$43:$N$52</c:f>
              <c:numCache>
                <c:formatCode>_(* #,##0_);_(* \(#,##0\);_(* "-"??_);_(@_)</c:formatCode>
                <c:ptCount val="10"/>
                <c:pt idx="0">
                  <c:v>401972</c:v>
                </c:pt>
                <c:pt idx="1">
                  <c:v>144845</c:v>
                </c:pt>
                <c:pt idx="2">
                  <c:v>116009</c:v>
                </c:pt>
                <c:pt idx="3">
                  <c:v>106537</c:v>
                </c:pt>
                <c:pt idx="4">
                  <c:v>63060</c:v>
                </c:pt>
                <c:pt idx="5">
                  <c:v>60587</c:v>
                </c:pt>
                <c:pt idx="6">
                  <c:v>37479</c:v>
                </c:pt>
                <c:pt idx="7">
                  <c:v>19914</c:v>
                </c:pt>
                <c:pt idx="8">
                  <c:v>19796</c:v>
                </c:pt>
                <c:pt idx="9">
                  <c:v>19297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A-490E-B768-FACC240E6E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-Rp500,4</a:t>
                </a:r>
                <a:r>
                  <a:rPr lang="en-US" b="1" baseline="0">
                    <a:solidFill>
                      <a:srgbClr val="FF0000"/>
                    </a:solidFill>
                  </a:rPr>
                  <a:t> Miliar</a:t>
                </a:r>
                <a:endParaRPr lang="id-ID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32220073630997E-2"/>
              <c:y val="0.89815387605664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</a:t>
                </a:r>
                <a:r>
                  <a:rPr lang="en-US" baseline="0"/>
                  <a:t>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Solvabilitas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v2'!$M$55:$M$65</c:f>
              <c:strCache>
                <c:ptCount val="11"/>
                <c:pt idx="0">
                  <c:v>Rata-Rata</c:v>
                </c:pt>
                <c:pt idx="1">
                  <c:v>PT PFI Mega Life Insurance</c:v>
                </c:pt>
                <c:pt idx="2">
                  <c:v>PT Asuransi Jiwa Sealnsure</c:v>
                </c:pt>
                <c:pt idx="3">
                  <c:v>PT MSIG Life Insurance Indonesia Tbk.</c:v>
                </c:pt>
                <c:pt idx="4">
                  <c:v>PT Hanwha Life Insurance Indonesia</c:v>
                </c:pt>
                <c:pt idx="5">
                  <c:v>PT Panin Dai-Chi Life</c:v>
                </c:pt>
                <c:pt idx="6">
                  <c:v>PT Victoria Alife Indonesia</c:v>
                </c:pt>
                <c:pt idx="7">
                  <c:v>PT China Life Insurance Indonesia</c:v>
                </c:pt>
                <c:pt idx="8">
                  <c:v>PT Asuransi Jiwa Starinvestama</c:v>
                </c:pt>
                <c:pt idx="9">
                  <c:v>PT BNI Life Insurance</c:v>
                </c:pt>
                <c:pt idx="10">
                  <c:v>PT Central Asia Financial</c:v>
                </c:pt>
              </c:strCache>
            </c:strRef>
          </c:cat>
          <c:val>
            <c:numRef>
              <c:f>'MU Jan26 try avg v2'!$N$55:$N$65</c:f>
              <c:numCache>
                <c:formatCode>0.00%</c:formatCode>
                <c:ptCount val="11"/>
                <c:pt idx="0">
                  <c:v>5.6627000000000001</c:v>
                </c:pt>
                <c:pt idx="1">
                  <c:v>29.74</c:v>
                </c:pt>
                <c:pt idx="2">
                  <c:v>17.34</c:v>
                </c:pt>
                <c:pt idx="3">
                  <c:v>13.703900000000001</c:v>
                </c:pt>
                <c:pt idx="4">
                  <c:v>11.771000000000001</c:v>
                </c:pt>
                <c:pt idx="5">
                  <c:v>10.99</c:v>
                </c:pt>
                <c:pt idx="6">
                  <c:v>9</c:v>
                </c:pt>
                <c:pt idx="7">
                  <c:v>8.66</c:v>
                </c:pt>
                <c:pt idx="8">
                  <c:v>8.5672999999999995</c:v>
                </c:pt>
                <c:pt idx="9">
                  <c:v>8.3727</c:v>
                </c:pt>
                <c:pt idx="10">
                  <c:v>7.9726999999999997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5-48B3-8A01-52F81277BA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v2'!$M$68:$M$78</c:f>
              <c:strCache>
                <c:ptCount val="11"/>
                <c:pt idx="0">
                  <c:v>Rata-Rata</c:v>
                </c:pt>
                <c:pt idx="1">
                  <c:v>PT PFI Mega Life Insurance</c:v>
                </c:pt>
                <c:pt idx="2">
                  <c:v>PT Hanwha Life Insurance Indonesia</c:v>
                </c:pt>
                <c:pt idx="3">
                  <c:v>PT Asuransi Jiwa Starinvestama</c:v>
                </c:pt>
                <c:pt idx="4">
                  <c:v>PT Asuransi Jiwa Nasional</c:v>
                </c:pt>
                <c:pt idx="5">
                  <c:v>PT Central Asia Financial</c:v>
                </c:pt>
                <c:pt idx="6">
                  <c:v>PT Perta Life Insurance</c:v>
                </c:pt>
                <c:pt idx="7">
                  <c:v>PT Victoria Alife Indonesia</c:v>
                </c:pt>
                <c:pt idx="8">
                  <c:v>PT MNC Life Assurance</c:v>
                </c:pt>
                <c:pt idx="9">
                  <c:v>PT Asuransi Jiwa Central Asia Raya</c:v>
                </c:pt>
                <c:pt idx="10">
                  <c:v>PT Bhinneka Life Indonesia</c:v>
                </c:pt>
              </c:strCache>
            </c:strRef>
          </c:cat>
          <c:val>
            <c:numRef>
              <c:f>'MU Jan26 try avg v2'!$N$68:$N$78</c:f>
              <c:numCache>
                <c:formatCode>0.00%</c:formatCode>
                <c:ptCount val="11"/>
                <c:pt idx="0">
                  <c:v>5.6627000000000001</c:v>
                </c:pt>
                <c:pt idx="1">
                  <c:v>7.79</c:v>
                </c:pt>
                <c:pt idx="2">
                  <c:v>7.4253999999999998</c:v>
                </c:pt>
                <c:pt idx="3">
                  <c:v>6.4760999999999997</c:v>
                </c:pt>
                <c:pt idx="4">
                  <c:v>5.1994999999999996</c:v>
                </c:pt>
                <c:pt idx="5">
                  <c:v>5.1079999999999997</c:v>
                </c:pt>
                <c:pt idx="6">
                  <c:v>4.4028999999999998</c:v>
                </c:pt>
                <c:pt idx="7">
                  <c:v>4.08</c:v>
                </c:pt>
                <c:pt idx="8">
                  <c:v>3.3689</c:v>
                </c:pt>
                <c:pt idx="9">
                  <c:v>3.22</c:v>
                </c:pt>
                <c:pt idx="10">
                  <c:v>2.9203000000000001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9-4EB7-9C0C-1D9C1F931F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Solvabilitas Asuransi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3B-406D-80CB-E30DD3ED4B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v2'!$F$101:$F$111</c:f>
              <c:strCache>
                <c:ptCount val="11"/>
                <c:pt idx="0">
                  <c:v>Rata-Rata</c:v>
                </c:pt>
                <c:pt idx="1">
                  <c:v>PT Asuransi Allianz Utama Indonesia</c:v>
                </c:pt>
                <c:pt idx="2">
                  <c:v>PT Meritz Korindo Insurance</c:v>
                </c:pt>
                <c:pt idx="3">
                  <c:v>PT Chubb General Insurance Indonesia</c:v>
                </c:pt>
                <c:pt idx="4">
                  <c:v>PT AIG Insurance Indonesia</c:v>
                </c:pt>
                <c:pt idx="5">
                  <c:v>PT Asuransi Bina Dana Arta Tbk.</c:v>
                </c:pt>
                <c:pt idx="6">
                  <c:v>PT Asuransi Staco Mandiri</c:v>
                </c:pt>
                <c:pt idx="7">
                  <c:v>PT Asuransi Digital Bersama Tbk.</c:v>
                </c:pt>
                <c:pt idx="8">
                  <c:v>PT Asuransi Sumit Oto</c:v>
                </c:pt>
                <c:pt idx="9">
                  <c:v>PT Asuransi Kerugian Jasa Raharja</c:v>
                </c:pt>
                <c:pt idx="10">
                  <c:v>PT Victoria Insurance Tbk.</c:v>
                </c:pt>
              </c:strCache>
            </c:strRef>
          </c:cat>
          <c:val>
            <c:numRef>
              <c:f>'MU Jan26 try avg v2'!$G$101:$G$111</c:f>
              <c:numCache>
                <c:formatCode>0.0%</c:formatCode>
                <c:ptCount val="11"/>
                <c:pt idx="0" formatCode="0%">
                  <c:v>3.6469723076923</c:v>
                </c:pt>
                <c:pt idx="1">
                  <c:v>5.9539999999999997</c:v>
                </c:pt>
                <c:pt idx="2" formatCode="0.00%">
                  <c:v>6.1885000000000003</c:v>
                </c:pt>
                <c:pt idx="3" formatCode="0%">
                  <c:v>6.32</c:v>
                </c:pt>
                <c:pt idx="4" formatCode="0%">
                  <c:v>6.54</c:v>
                </c:pt>
                <c:pt idx="5" formatCode="0.00%">
                  <c:v>6.6761999999999997</c:v>
                </c:pt>
                <c:pt idx="6" formatCode="0.00%">
                  <c:v>7.2218</c:v>
                </c:pt>
                <c:pt idx="7" formatCode="0%">
                  <c:v>7.73</c:v>
                </c:pt>
                <c:pt idx="8" formatCode="0%">
                  <c:v>8.0299999999999994</c:v>
                </c:pt>
                <c:pt idx="9" formatCode="0.00%">
                  <c:v>8.1616</c:v>
                </c:pt>
                <c:pt idx="10" formatCode="0%">
                  <c:v>19.63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B-406D-80CB-E30DD3ED4B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564048"/>
        <c:axId val="446558288"/>
      </c:barChart>
      <c:catAx>
        <c:axId val="44656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58288"/>
        <c:crosses val="autoZero"/>
        <c:auto val="1"/>
        <c:lblAlgn val="ctr"/>
        <c:lblOffset val="100"/>
        <c:noMultiLvlLbl val="0"/>
      </c:catAx>
      <c:valAx>
        <c:axId val="44655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6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Likuiditas Asuransi</a:t>
            </a:r>
            <a:r>
              <a:rPr lang="en-US" baseline="0"/>
              <a:t>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9B-4193-B20A-CF57219C4E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v2'!$F$114:$F$124</c:f>
              <c:strCache>
                <c:ptCount val="11"/>
                <c:pt idx="0">
                  <c:v>Rata-Rata</c:v>
                </c:pt>
                <c:pt idx="1">
                  <c:v>PT Asuransi Allianz Utama Indonesia</c:v>
                </c:pt>
                <c:pt idx="2">
                  <c:v>PT Chubb General Insurance Indonesia</c:v>
                </c:pt>
                <c:pt idx="3">
                  <c:v>PT Asuransi Jasa Tania Tbk.</c:v>
                </c:pt>
                <c:pt idx="4">
                  <c:v>PT Meritz Korindo Insurance</c:v>
                </c:pt>
                <c:pt idx="5">
                  <c:v>PT BRI Asuransi Indonesia</c:v>
                </c:pt>
                <c:pt idx="6">
                  <c:v>PT Asuransi Sahabat Artha Proteksi</c:v>
                </c:pt>
                <c:pt idx="7">
                  <c:v>PT Asuransi Bina Dana Arta Tbk.</c:v>
                </c:pt>
                <c:pt idx="8">
                  <c:v>PT Asuransi Tugu Pratama Indonesia Tbk.</c:v>
                </c:pt>
                <c:pt idx="9">
                  <c:v>PT Asuransi Kerugian Jasa Raharja</c:v>
                </c:pt>
                <c:pt idx="10">
                  <c:v>PT Victoria Insurance Tbk.</c:v>
                </c:pt>
              </c:strCache>
            </c:strRef>
          </c:cat>
          <c:val>
            <c:numRef>
              <c:f>'MU Jan26 try avg v2'!$G$114:$G$124</c:f>
              <c:numCache>
                <c:formatCode>0.0%</c:formatCode>
                <c:ptCount val="11"/>
                <c:pt idx="0" formatCode="0%">
                  <c:v>1.6256999999999999</c:v>
                </c:pt>
                <c:pt idx="1">
                  <c:v>2.0579999999999998</c:v>
                </c:pt>
                <c:pt idx="2" formatCode="0%">
                  <c:v>2.08</c:v>
                </c:pt>
                <c:pt idx="3" formatCode="0%">
                  <c:v>2.1</c:v>
                </c:pt>
                <c:pt idx="4" formatCode="0%">
                  <c:v>2.11</c:v>
                </c:pt>
                <c:pt idx="5" formatCode="0.00%">
                  <c:v>2.1434000000000002</c:v>
                </c:pt>
                <c:pt idx="6" formatCode="0.00%">
                  <c:v>2.1798000000000002</c:v>
                </c:pt>
                <c:pt idx="7" formatCode="0.00%">
                  <c:v>2.2905000000000002</c:v>
                </c:pt>
                <c:pt idx="8" formatCode="0.00%">
                  <c:v>2.3008000000000002</c:v>
                </c:pt>
                <c:pt idx="9" formatCode="0.00%">
                  <c:v>3.0956000000000001</c:v>
                </c:pt>
                <c:pt idx="10" formatCode="0%">
                  <c:v>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B-4193-B20A-CF57219C4E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1623040"/>
        <c:axId val="1401623520"/>
      </c:barChart>
      <c:catAx>
        <c:axId val="140162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23520"/>
        <c:crosses val="autoZero"/>
        <c:auto val="1"/>
        <c:lblAlgn val="ctr"/>
        <c:lblOffset val="100"/>
        <c:noMultiLvlLbl val="0"/>
      </c:catAx>
      <c:valAx>
        <c:axId val="140162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2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Solvabilitas Asuransi Jiwa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65-4FAE-81DA-69A2CD9D74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v2'!$O$55:$O$65</c:f>
              <c:strCache>
                <c:ptCount val="11"/>
                <c:pt idx="0">
                  <c:v>Rata-Rata</c:v>
                </c:pt>
                <c:pt idx="1">
                  <c:v>PT Central Asia Financial</c:v>
                </c:pt>
                <c:pt idx="2">
                  <c:v>PT BNI Life Insurance</c:v>
                </c:pt>
                <c:pt idx="3">
                  <c:v>PT Asuransi Jiwa Starinvestama</c:v>
                </c:pt>
                <c:pt idx="4">
                  <c:v>PT China Life Insurance Indonesia</c:v>
                </c:pt>
                <c:pt idx="5">
                  <c:v>PT Victoria Alife Indonesia</c:v>
                </c:pt>
                <c:pt idx="6">
                  <c:v>PT Panin Dai-Chi Life</c:v>
                </c:pt>
                <c:pt idx="7">
                  <c:v>PT Hanwha Life Insurance Indonesia</c:v>
                </c:pt>
                <c:pt idx="8">
                  <c:v>PT MSIG Life Insurance Indonesia Tbk.</c:v>
                </c:pt>
                <c:pt idx="9">
                  <c:v>PT Asuransi Jiwa Sealnsure</c:v>
                </c:pt>
                <c:pt idx="10">
                  <c:v>PT PFI Mega Life Insurance</c:v>
                </c:pt>
              </c:strCache>
            </c:strRef>
          </c:cat>
          <c:val>
            <c:numRef>
              <c:f>'MU Jan26 try avg v2'!$P$55:$P$65</c:f>
              <c:numCache>
                <c:formatCode>0.00%</c:formatCode>
                <c:ptCount val="11"/>
                <c:pt idx="0">
                  <c:v>5.6627000000000001</c:v>
                </c:pt>
                <c:pt idx="1">
                  <c:v>7.9726999999999997</c:v>
                </c:pt>
                <c:pt idx="2">
                  <c:v>8.3727</c:v>
                </c:pt>
                <c:pt idx="3">
                  <c:v>8.5672999999999995</c:v>
                </c:pt>
                <c:pt idx="4">
                  <c:v>8.66</c:v>
                </c:pt>
                <c:pt idx="5">
                  <c:v>9</c:v>
                </c:pt>
                <c:pt idx="6">
                  <c:v>10.99</c:v>
                </c:pt>
                <c:pt idx="7">
                  <c:v>11.771000000000001</c:v>
                </c:pt>
                <c:pt idx="8">
                  <c:v>13.703900000000001</c:v>
                </c:pt>
                <c:pt idx="9">
                  <c:v>17.34</c:v>
                </c:pt>
                <c:pt idx="10">
                  <c:v>29.74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5-4FAE-81DA-69A2CD9D74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9624112"/>
        <c:axId val="1439623632"/>
      </c:barChart>
      <c:catAx>
        <c:axId val="143962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3632"/>
        <c:crosses val="autoZero"/>
        <c:auto val="1"/>
        <c:lblAlgn val="ctr"/>
        <c:lblOffset val="100"/>
        <c:noMultiLvlLbl val="0"/>
      </c:catAx>
      <c:valAx>
        <c:axId val="143962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Likuiditas Asuransi Jiwa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F7-4439-8EB1-0C80771FD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 v2'!$O$68:$O$78</c:f>
              <c:strCache>
                <c:ptCount val="11"/>
                <c:pt idx="0">
                  <c:v>Rata-Rata</c:v>
                </c:pt>
                <c:pt idx="1">
                  <c:v>PT Bhinneka Life Indonesia</c:v>
                </c:pt>
                <c:pt idx="2">
                  <c:v>PT Asuransi Jiwa Central Asia Raya</c:v>
                </c:pt>
                <c:pt idx="3">
                  <c:v>PT MNC Life Assurance</c:v>
                </c:pt>
                <c:pt idx="4">
                  <c:v>PT Victoria Alife Indonesia</c:v>
                </c:pt>
                <c:pt idx="5">
                  <c:v>PT Perta Life Insurance</c:v>
                </c:pt>
                <c:pt idx="6">
                  <c:v>PT Central Asia Financial</c:v>
                </c:pt>
                <c:pt idx="7">
                  <c:v>PT Asuransi Jiwa Nasional</c:v>
                </c:pt>
                <c:pt idx="8">
                  <c:v>PT Asuransi Jiwa Starinvestama</c:v>
                </c:pt>
                <c:pt idx="9">
                  <c:v>PT Hanwha Life Insurance Indonesia</c:v>
                </c:pt>
                <c:pt idx="10">
                  <c:v>PT PFI Mega Life Insurance</c:v>
                </c:pt>
              </c:strCache>
            </c:strRef>
          </c:cat>
          <c:val>
            <c:numRef>
              <c:f>'MU Jan26 try avg v2'!$P$68:$P$78</c:f>
              <c:numCache>
                <c:formatCode>0.00%</c:formatCode>
                <c:ptCount val="11"/>
                <c:pt idx="0">
                  <c:v>2.613</c:v>
                </c:pt>
                <c:pt idx="1">
                  <c:v>2.9203000000000001</c:v>
                </c:pt>
                <c:pt idx="2">
                  <c:v>3.22</c:v>
                </c:pt>
                <c:pt idx="3">
                  <c:v>3.3689</c:v>
                </c:pt>
                <c:pt idx="4">
                  <c:v>4.08</c:v>
                </c:pt>
                <c:pt idx="5">
                  <c:v>4.4028999999999998</c:v>
                </c:pt>
                <c:pt idx="6">
                  <c:v>5.1079999999999997</c:v>
                </c:pt>
                <c:pt idx="7">
                  <c:v>5.1994999999999996</c:v>
                </c:pt>
                <c:pt idx="8">
                  <c:v>6.4760999999999997</c:v>
                </c:pt>
                <c:pt idx="9">
                  <c:v>7.4253999999999998</c:v>
                </c:pt>
                <c:pt idx="10">
                  <c:v>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7-4439-8EB1-0C80771FDE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9626032"/>
        <c:axId val="1439632752"/>
      </c:barChart>
      <c:catAx>
        <c:axId val="143962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32752"/>
        <c:crosses val="autoZero"/>
        <c:auto val="1"/>
        <c:lblAlgn val="ctr"/>
        <c:lblOffset val="100"/>
        <c:noMultiLvlLbl val="0"/>
      </c:catAx>
      <c:valAx>
        <c:axId val="143963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Penutupan</a:t>
            </a:r>
            <a:r>
              <a:rPr lang="en-US" sz="1200" baseline="0"/>
              <a:t> Tidak Langsung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2480278460844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B9-4E98-8BD0-F17553B020EA}"/>
                </c:ext>
              </c:extLst>
            </c:dLbl>
            <c:dLbl>
              <c:idx val="1"/>
              <c:layout>
                <c:manualLayout>
                  <c:x val="0"/>
                  <c:y val="-1.6240139230422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B9-4E98-8BD0-F17553B020EA}"/>
                </c:ext>
              </c:extLst>
            </c:dLbl>
            <c:dLbl>
              <c:idx val="3"/>
              <c:layout>
                <c:manualLayout>
                  <c:x val="3.0075772000071992E-3"/>
                  <c:y val="4.8602772588179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B9-4E98-8BD0-F17553B020EA}"/>
                </c:ext>
              </c:extLst>
            </c:dLbl>
            <c:dLbl>
              <c:idx val="4"/>
              <c:layout>
                <c:manualLayout>
                  <c:x val="0"/>
                  <c:y val="5.39374783931558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B9-4E98-8BD0-F17553B020EA}"/>
                </c:ext>
              </c:extLst>
            </c:dLbl>
            <c:spPr>
              <a:solidFill>
                <a:srgbClr val="002060">
                  <a:alpha val="5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avg'!$A$4:$A$10</c:f>
              <c:strCache>
                <c:ptCount val="7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avg'!$B$4:$B$10</c:f>
              <c:numCache>
                <c:formatCode>_(* #,##0_);_(* \(#,##0\);_(* "-"??_);_(@_)</c:formatCode>
                <c:ptCount val="7"/>
                <c:pt idx="0">
                  <c:v>388451</c:v>
                </c:pt>
                <c:pt idx="1">
                  <c:v>212437</c:v>
                </c:pt>
                <c:pt idx="2">
                  <c:v>120301</c:v>
                </c:pt>
                <c:pt idx="3">
                  <c:v>415708</c:v>
                </c:pt>
                <c:pt idx="4">
                  <c:v>933</c:v>
                </c:pt>
                <c:pt idx="5" formatCode="_-* #,##0_-;\-* #,##0_-;_-* &quot;-&quot;??_-;_-@_-">
                  <c:v>2496976</c:v>
                </c:pt>
                <c:pt idx="6">
                  <c:v>129778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B9-4E98-8BD0-F17553B020EA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2.15749913572624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B9-4E98-8BD0-F17553B020EA}"/>
                </c:ext>
              </c:extLst>
            </c:dLbl>
            <c:dLbl>
              <c:idx val="6"/>
              <c:layout>
                <c:manualLayout>
                  <c:x val="0"/>
                  <c:y val="1.07874956786311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B9-4E98-8BD0-F17553B020EA}"/>
                </c:ext>
              </c:extLst>
            </c:dLbl>
            <c:spPr>
              <a:solidFill>
                <a:schemeClr val="accent6">
                  <a:lumMod val="75000"/>
                  <a:alpha val="6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avg'!$A$4:$A$10</c:f>
              <c:strCache>
                <c:ptCount val="7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avg'!$C$4:$C$10</c:f>
              <c:numCache>
                <c:formatCode>_-* #,##0_-;\-* #,##0_-;_-* "-"??_-;_-@_-</c:formatCode>
                <c:ptCount val="7"/>
                <c:pt idx="0">
                  <c:v>451716</c:v>
                </c:pt>
                <c:pt idx="1">
                  <c:v>143190</c:v>
                </c:pt>
                <c:pt idx="2">
                  <c:v>410915</c:v>
                </c:pt>
                <c:pt idx="3">
                  <c:v>438402</c:v>
                </c:pt>
                <c:pt idx="4">
                  <c:v>2231</c:v>
                </c:pt>
                <c:pt idx="5">
                  <c:v>1113064</c:v>
                </c:pt>
                <c:pt idx="6">
                  <c:v>85797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B9-4E98-8BD0-F17553B020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565352976414082E-17"/>
                  <c:y val="2.71741339903054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2B-4CFF-8FCE-34D98E870126}"/>
                </c:ext>
              </c:extLst>
            </c:dLbl>
            <c:dLbl>
              <c:idx val="3"/>
              <c:layout>
                <c:manualLayout>
                  <c:x val="0"/>
                  <c:y val="4.34786143844887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2B-4CFF-8FCE-34D98E870126}"/>
                </c:ext>
              </c:extLst>
            </c:dLbl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avg'!$A$14:$A$20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avg'!$B$14:$B$20</c:f>
              <c:numCache>
                <c:formatCode>#,##0</c:formatCode>
                <c:ptCount val="7"/>
                <c:pt idx="0" formatCode="_(* #,##0_);_(* \(#,##0\);_(* &quot;-&quot;??_);_(@_)">
                  <c:v>318296</c:v>
                </c:pt>
                <c:pt idx="1">
                  <c:v>169210</c:v>
                </c:pt>
                <c:pt idx="2">
                  <c:v>104953</c:v>
                </c:pt>
                <c:pt idx="3">
                  <c:v>352933</c:v>
                </c:pt>
                <c:pt idx="4" formatCode="_(* #,##0_);_(* \(#,##0\);_(* &quot;-&quot;??_);_(@_)">
                  <c:v>607</c:v>
                </c:pt>
                <c:pt idx="6">
                  <c:v>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B-4CFF-8FCE-34D98E870126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0071641542244263E-3"/>
                  <c:y val="3.26089607883665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2B-4CFF-8FCE-34D98E870126}"/>
                </c:ext>
              </c:extLst>
            </c:dLbl>
            <c:dLbl>
              <c:idx val="4"/>
              <c:layout>
                <c:manualLayout>
                  <c:x val="0"/>
                  <c:y val="-3.80437875864276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2B-4CFF-8FCE-34D98E870126}"/>
                </c:ext>
              </c:extLst>
            </c:dLbl>
            <c:dLbl>
              <c:idx val="6"/>
              <c:layout>
                <c:manualLayout>
                  <c:x val="-1.1026141190565633E-16"/>
                  <c:y val="-4.34786143844888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2B-4CFF-8FCE-34D98E870126}"/>
                </c:ext>
              </c:extLst>
            </c:dLbl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avg'!$A$14:$A$20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avg'!$C$14:$C$20</c:f>
              <c:numCache>
                <c:formatCode>_-* #,##0_-;\-* #,##0_-;_-* "-"??_-;_-@_-</c:formatCode>
                <c:ptCount val="7"/>
                <c:pt idx="0">
                  <c:v>389558</c:v>
                </c:pt>
                <c:pt idx="1">
                  <c:v>116500</c:v>
                </c:pt>
                <c:pt idx="2">
                  <c:v>337554</c:v>
                </c:pt>
                <c:pt idx="3">
                  <c:v>380466</c:v>
                </c:pt>
                <c:pt idx="4">
                  <c:v>2025</c:v>
                </c:pt>
                <c:pt idx="5">
                  <c:v>1101069</c:v>
                </c:pt>
                <c:pt idx="6">
                  <c:v>69676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2B-4CFF-8FCE-34D98E870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 Hasil Underwriting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avg'!$A$24:$A$30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avg'!$B$24:$B$30</c:f>
              <c:numCache>
                <c:formatCode>_(* #,##0_);_(* \(#,##0\);_(* "-"??_);_(@_)</c:formatCode>
                <c:ptCount val="7"/>
                <c:pt idx="0">
                  <c:v>11902</c:v>
                </c:pt>
                <c:pt idx="1">
                  <c:v>-7144</c:v>
                </c:pt>
                <c:pt idx="2">
                  <c:v>71356</c:v>
                </c:pt>
                <c:pt idx="3">
                  <c:v>41333</c:v>
                </c:pt>
                <c:pt idx="4">
                  <c:v>3726</c:v>
                </c:pt>
                <c:pt idx="5" formatCode="_-* #,##0_-;\-* #,##0_-;_-* &quot;-&quot;??_-;_-@_-">
                  <c:v>11487</c:v>
                </c:pt>
                <c:pt idx="6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4-4678-8226-99862E265C6B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avg'!$A$24:$A$30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avg'!$C$24:$C$30</c:f>
              <c:numCache>
                <c:formatCode>_-* #,##0_-;\-* #,##0_-;_-* "-"??_-;_-@_-</c:formatCode>
                <c:ptCount val="7"/>
                <c:pt idx="0">
                  <c:v>1594</c:v>
                </c:pt>
                <c:pt idx="1">
                  <c:v>34288</c:v>
                </c:pt>
                <c:pt idx="2">
                  <c:v>145873</c:v>
                </c:pt>
                <c:pt idx="3">
                  <c:v>70355</c:v>
                </c:pt>
                <c:pt idx="4">
                  <c:v>2400</c:v>
                </c:pt>
                <c:pt idx="5">
                  <c:v>15405</c:v>
                </c:pt>
                <c:pt idx="6">
                  <c:v>3758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4-4678-8226-99862E265C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150000"/>
          <c:min val="-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EE-4CB7-9F74-2368C07061B2}"/>
                </c:ext>
              </c:extLst>
            </c:dLbl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avg'!$A$35:$A$41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avg'!$B$35:$B$41</c:f>
              <c:numCache>
                <c:formatCode>_(* #,##0_);_(* \(#,##0\);_(* "-"??_);_(@_)</c:formatCode>
                <c:ptCount val="7"/>
                <c:pt idx="0">
                  <c:v>2780048</c:v>
                </c:pt>
                <c:pt idx="1">
                  <c:v>1576800</c:v>
                </c:pt>
                <c:pt idx="2">
                  <c:v>-2005410</c:v>
                </c:pt>
                <c:pt idx="3">
                  <c:v>1799317</c:v>
                </c:pt>
                <c:pt idx="4">
                  <c:v>897366</c:v>
                </c:pt>
                <c:pt idx="5" formatCode="_-* #,##0_-;\-* #,##0_-;_-* &quot;-&quot;??_-;_-@_-">
                  <c:v>1188375</c:v>
                </c:pt>
                <c:pt idx="6">
                  <c:v>908116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E-4CB7-9F74-2368C07061B2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avg'!$A$35:$A$41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avg'!$C$35:$C$41</c:f>
              <c:numCache>
                <c:formatCode>_-* #,##0_-;\-* #,##0_-;_-* "-"??_-;_-@_-</c:formatCode>
                <c:ptCount val="7"/>
                <c:pt idx="0">
                  <c:v>2557083</c:v>
                </c:pt>
                <c:pt idx="1">
                  <c:v>1508956</c:v>
                </c:pt>
                <c:pt idx="2">
                  <c:v>-1127393</c:v>
                </c:pt>
                <c:pt idx="3">
                  <c:v>1606042</c:v>
                </c:pt>
                <c:pt idx="4">
                  <c:v>775497</c:v>
                </c:pt>
                <c:pt idx="5">
                  <c:v>975080</c:v>
                </c:pt>
                <c:pt idx="6">
                  <c:v>335546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E-4CB7-9F74-2368C07061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3000000"/>
          <c:min val="-2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 Bersih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avg'!$A$45:$A$51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avg'!$B$45:$B$51</c:f>
              <c:numCache>
                <c:formatCode>#,##0</c:formatCode>
                <c:ptCount val="7"/>
                <c:pt idx="0">
                  <c:v>6397</c:v>
                </c:pt>
                <c:pt idx="1">
                  <c:v>-5736</c:v>
                </c:pt>
                <c:pt idx="2">
                  <c:v>70585</c:v>
                </c:pt>
                <c:pt idx="3">
                  <c:v>42447</c:v>
                </c:pt>
                <c:pt idx="4" formatCode="_(* #,##0_);_(* \(#,##0\);_(* &quot;-&quot;??_);_(@_)">
                  <c:v>3594</c:v>
                </c:pt>
                <c:pt idx="6">
                  <c:v>5420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E-4547-BB64-C21DD08506C9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50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avg'!$A$45:$A$51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avg'!$C$45:$C$51</c:f>
              <c:numCache>
                <c:formatCode>_-* #,##0_-;\-* #,##0_-;_-* "-"??_-;_-@_-</c:formatCode>
                <c:ptCount val="7"/>
                <c:pt idx="0">
                  <c:v>15045</c:v>
                </c:pt>
                <c:pt idx="1">
                  <c:v>56563</c:v>
                </c:pt>
                <c:pt idx="2">
                  <c:v>112090</c:v>
                </c:pt>
                <c:pt idx="3">
                  <c:v>65838</c:v>
                </c:pt>
                <c:pt idx="4">
                  <c:v>2102</c:v>
                </c:pt>
                <c:pt idx="5">
                  <c:v>20681</c:v>
                </c:pt>
                <c:pt idx="6">
                  <c:v>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E-4547-BB64-C21DD08506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12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RBC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avg'!$A$55:$A$61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avg'!$B$55:$B$61</c:f>
              <c:numCache>
                <c:formatCode>0.00%</c:formatCode>
                <c:ptCount val="7"/>
                <c:pt idx="0">
                  <c:v>1.3494999999999999</c:v>
                </c:pt>
                <c:pt idx="1">
                  <c:v>1.6526000000000001</c:v>
                </c:pt>
                <c:pt idx="2">
                  <c:v>-1.7114</c:v>
                </c:pt>
                <c:pt idx="3" formatCode="0%">
                  <c:v>1.92</c:v>
                </c:pt>
                <c:pt idx="4" formatCode="0.0%">
                  <c:v>11.586</c:v>
                </c:pt>
                <c:pt idx="5" formatCode="0%">
                  <c:v>3.2071000000000001</c:v>
                </c:pt>
                <c:pt idx="6">
                  <c:v>4.4126000000000003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C-4923-8591-A4C732C22E8D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avg'!$A$55:$A$61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avg'!$C$55:$C$61</c:f>
              <c:numCache>
                <c:formatCode>0.00%</c:formatCode>
                <c:ptCount val="7"/>
                <c:pt idx="0">
                  <c:v>1.3551</c:v>
                </c:pt>
                <c:pt idx="1">
                  <c:v>2.5356999999999998</c:v>
                </c:pt>
                <c:pt idx="2">
                  <c:v>-0.79990000000000006</c:v>
                </c:pt>
                <c:pt idx="3">
                  <c:v>1.78</c:v>
                </c:pt>
                <c:pt idx="4">
                  <c:v>13.0688</c:v>
                </c:pt>
                <c:pt idx="5">
                  <c:v>2.8729</c:v>
                </c:pt>
                <c:pt idx="6">
                  <c:v>3.0503999999999998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C-4923-8591-A4C732C22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avg'!$A$65:$A$71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avg'!$B$65:$B$71</c:f>
              <c:numCache>
                <c:formatCode>0.00%</c:formatCode>
                <c:ptCount val="7"/>
                <c:pt idx="0">
                  <c:v>1.2028000000000001</c:v>
                </c:pt>
                <c:pt idx="1">
                  <c:v>1.3035000000000001</c:v>
                </c:pt>
                <c:pt idx="2">
                  <c:v>0.92100000000000004</c:v>
                </c:pt>
                <c:pt idx="3">
                  <c:v>1.92</c:v>
                </c:pt>
                <c:pt idx="4">
                  <c:v>3.4201000000000001</c:v>
                </c:pt>
                <c:pt idx="5" formatCode="0%">
                  <c:v>1.6153</c:v>
                </c:pt>
                <c:pt idx="6">
                  <c:v>1.6113999999999999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D-4F8D-83FF-7CC3E7C02D1C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avg'!$A$65:$A$71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avg'!$C$65:$C$71</c:f>
              <c:numCache>
                <c:formatCode>0.00%</c:formatCode>
                <c:ptCount val="7"/>
                <c:pt idx="0">
                  <c:v>1.3362000000000001</c:v>
                </c:pt>
                <c:pt idx="1">
                  <c:v>1.3381000000000001</c:v>
                </c:pt>
                <c:pt idx="2">
                  <c:v>1.052</c:v>
                </c:pt>
                <c:pt idx="3" formatCode="0%">
                  <c:v>1.84</c:v>
                </c:pt>
                <c:pt idx="4">
                  <c:v>3.8626999999999998</c:v>
                </c:pt>
                <c:pt idx="5">
                  <c:v>1.5593999999999999</c:v>
                </c:pt>
                <c:pt idx="6">
                  <c:v>1.5616000000000001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D-4F8D-83FF-7CC3E7C02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Aset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try avg'!$B$2</c:f>
              <c:strCache>
                <c:ptCount val="1"/>
                <c:pt idx="0">
                  <c:v>Januari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avg'!$A$75:$A$81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avg'!$B$75:$B$81</c:f>
              <c:numCache>
                <c:formatCode>_(* #,##0_);_(* \(#,##0\);_(* "-"??_);_(@_)</c:formatCode>
                <c:ptCount val="7"/>
                <c:pt idx="0">
                  <c:v>12972004</c:v>
                </c:pt>
                <c:pt idx="1">
                  <c:v>5622306</c:v>
                </c:pt>
                <c:pt idx="2">
                  <c:v>6429215</c:v>
                </c:pt>
                <c:pt idx="3">
                  <c:v>7230344</c:v>
                </c:pt>
                <c:pt idx="4">
                  <c:v>1219165</c:v>
                </c:pt>
                <c:pt idx="5" formatCode="_-* #,##0_-;\-* #,##0_-;_-* &quot;-&quot;??_-;_-@_-">
                  <c:v>4561072</c:v>
                </c:pt>
                <c:pt idx="6">
                  <c:v>2086949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F-4EE6-8BD8-F361101C95CE}"/>
            </c:ext>
          </c:extLst>
        </c:ser>
        <c:ser>
          <c:idx val="1"/>
          <c:order val="1"/>
          <c:tx>
            <c:strRef>
              <c:f>'MU Jan26 try avg'!$C$2</c:f>
              <c:strCache>
                <c:ptCount val="1"/>
                <c:pt idx="0">
                  <c:v>Januari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avg'!$A$75:$A$81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try avg'!$C$75:$C$81</c:f>
              <c:numCache>
                <c:formatCode>_-* #,##0_-;\-* #,##0_-;_-* "-"??_-;_-@_-</c:formatCode>
                <c:ptCount val="7"/>
                <c:pt idx="0">
                  <c:v>13572403</c:v>
                </c:pt>
                <c:pt idx="1">
                  <c:v>5033338</c:v>
                </c:pt>
                <c:pt idx="2">
                  <c:v>8259199</c:v>
                </c:pt>
                <c:pt idx="3">
                  <c:v>6272720</c:v>
                </c:pt>
                <c:pt idx="4">
                  <c:v>1033972</c:v>
                </c:pt>
                <c:pt idx="5">
                  <c:v>4372746</c:v>
                </c:pt>
                <c:pt idx="6">
                  <c:v>877531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F-4EE6-8BD8-F361101C95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Aset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8DD-48F8-99F1-9555DCD65B5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DD-48F8-99F1-9555DCD65B5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8DD-48F8-99F1-9555DCD65B5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DD-48F8-99F1-9555DCD65B5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8DD-48F8-99F1-9555DCD65B5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DD-48F8-99F1-9555DCD65B5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DD-48F8-99F1-9555DCD65B5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DD-48F8-99F1-9555DCD65B5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DD-48F8-99F1-9555DCD65B5C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DD-48F8-99F1-9555DCD65B5C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8DD-48F8-99F1-9555DCD65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avg'!$H$3:$H$13</c:f>
              <c:strCache>
                <c:ptCount val="11"/>
                <c:pt idx="0">
                  <c:v>Total</c:v>
                </c:pt>
                <c:pt idx="1">
                  <c:v>PT Asuransi Astra Buana</c:v>
                </c:pt>
                <c:pt idx="2">
                  <c:v>PT Asuransi Tugu Pratama Indonesia Tbk.</c:v>
                </c:pt>
                <c:pt idx="3">
                  <c:v>PT Asuransi Kredit Indonesia</c:v>
                </c:pt>
                <c:pt idx="4">
                  <c:v>PT Asuransi Central Asia</c:v>
                </c:pt>
                <c:pt idx="5">
                  <c:v>PT Asuransi Kerugian Jasa Raharja</c:v>
                </c:pt>
                <c:pt idx="6">
                  <c:v>PT Asuransi Jasa Indonesia</c:v>
                </c:pt>
                <c:pt idx="7">
                  <c:v>PT Asuransi Sinar Mas</c:v>
                </c:pt>
                <c:pt idx="8">
                  <c:v>PT Zurich Asuransi Indonesia Tbk.</c:v>
                </c:pt>
                <c:pt idx="9">
                  <c:v>PT BRI Asuransi Indonesia</c:v>
                </c:pt>
                <c:pt idx="10">
                  <c:v>PT Asuransi Multi Artha Guna Tbk.</c:v>
                </c:pt>
              </c:strCache>
            </c:strRef>
          </c:cat>
          <c:val>
            <c:numRef>
              <c:f>'MU Jan26 try avg'!$I$3:$I$13</c:f>
              <c:numCache>
                <c:formatCode>#,##0</c:formatCode>
                <c:ptCount val="11"/>
                <c:pt idx="0" formatCode="_-* #,##0_-;\-* #,##0_-;_-* &quot;-&quot;??_-;_-@_-">
                  <c:v>249289947.28</c:v>
                </c:pt>
                <c:pt idx="1">
                  <c:v>22801467</c:v>
                </c:pt>
                <c:pt idx="2">
                  <c:v>20868954</c:v>
                </c:pt>
                <c:pt idx="3">
                  <c:v>18658255</c:v>
                </c:pt>
                <c:pt idx="4">
                  <c:v>17550022.379999999</c:v>
                </c:pt>
                <c:pt idx="5">
                  <c:v>16607872</c:v>
                </c:pt>
                <c:pt idx="6">
                  <c:v>15442807</c:v>
                </c:pt>
                <c:pt idx="7">
                  <c:v>15437434</c:v>
                </c:pt>
                <c:pt idx="8">
                  <c:v>9971947</c:v>
                </c:pt>
                <c:pt idx="9">
                  <c:v>8622033</c:v>
                </c:pt>
                <c:pt idx="10">
                  <c:v>6061875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D-48F8-99F1-9555DCD65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6065840"/>
        <c:axId val="616051440"/>
      </c:barChart>
      <c:catAx>
        <c:axId val="616065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/>
                  <a:t>dalam</a:t>
                </a:r>
                <a:r>
                  <a:rPr lang="en-US" sz="600" baseline="0"/>
                  <a:t> juta rupiah</a:t>
                </a:r>
                <a:endParaRPr lang="en-US" sz="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51440"/>
        <c:crosses val="autoZero"/>
        <c:auto val="1"/>
        <c:lblAlgn val="ctr"/>
        <c:lblOffset val="100"/>
        <c:noMultiLvlLbl val="0"/>
      </c:catAx>
      <c:valAx>
        <c:axId val="61605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avg'!$H$16:$H$26</c:f>
              <c:strCache>
                <c:ptCount val="11"/>
                <c:pt idx="0">
                  <c:v>Total</c:v>
                </c:pt>
                <c:pt idx="1">
                  <c:v>PT Asuransi Kerugian Jasa Raharja</c:v>
                </c:pt>
                <c:pt idx="2">
                  <c:v>PT Asuransi Astra Buana</c:v>
                </c:pt>
                <c:pt idx="3">
                  <c:v>PT Asuransi Central Asia</c:v>
                </c:pt>
                <c:pt idx="4">
                  <c:v>PT Asuransi Sinar Mas</c:v>
                </c:pt>
                <c:pt idx="5">
                  <c:v>PT Asuransi Tugu Pratama Indonesia Tbk.</c:v>
                </c:pt>
                <c:pt idx="6">
                  <c:v>PT Zurich Asuransi Indonesia Tbk.</c:v>
                </c:pt>
                <c:pt idx="7">
                  <c:v>PT Asuransi Kredit Indonesia</c:v>
                </c:pt>
                <c:pt idx="8">
                  <c:v>PT Asuransi Jasa Indonesia</c:v>
                </c:pt>
                <c:pt idx="9">
                  <c:v>PT BRI Asuransi Indonesia</c:v>
                </c:pt>
                <c:pt idx="10">
                  <c:v>PT Asuransi Multi Artha Guna Tbk.</c:v>
                </c:pt>
              </c:strCache>
            </c:strRef>
          </c:cat>
          <c:val>
            <c:numRef>
              <c:f>'MU Jan26 try avg'!$I$16:$I$26</c:f>
              <c:numCache>
                <c:formatCode>#,##0</c:formatCode>
                <c:ptCount val="11"/>
                <c:pt idx="0">
                  <c:v>91774708828</c:v>
                </c:pt>
                <c:pt idx="1">
                  <c:v>12684265</c:v>
                </c:pt>
                <c:pt idx="2">
                  <c:v>9313346</c:v>
                </c:pt>
                <c:pt idx="3">
                  <c:v>8517372.3399999999</c:v>
                </c:pt>
                <c:pt idx="4">
                  <c:v>6897480</c:v>
                </c:pt>
                <c:pt idx="5">
                  <c:v>6218334</c:v>
                </c:pt>
                <c:pt idx="6">
                  <c:v>4385035</c:v>
                </c:pt>
                <c:pt idx="7">
                  <c:v>4320942</c:v>
                </c:pt>
                <c:pt idx="8">
                  <c:v>3283408</c:v>
                </c:pt>
                <c:pt idx="9">
                  <c:v>3021491</c:v>
                </c:pt>
                <c:pt idx="10">
                  <c:v>2161850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8-4E96-AD3F-7A48DC5634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avg'!$H$29:$H$39</c:f>
              <c:strCache>
                <c:ptCount val="11"/>
                <c:pt idx="0">
                  <c:v>Total</c:v>
                </c:pt>
                <c:pt idx="1">
                  <c:v>PT Asuransi Sinar Mas</c:v>
                </c:pt>
                <c:pt idx="2">
                  <c:v>PT Asuransi Astra Buana</c:v>
                </c:pt>
                <c:pt idx="3">
                  <c:v>PT Lippo General Insurance Tbk.</c:v>
                </c:pt>
                <c:pt idx="4">
                  <c:v>PT Zurich Asuransi Indonesia Tbk.</c:v>
                </c:pt>
                <c:pt idx="5">
                  <c:v>PT Asuransi Central Asia</c:v>
                </c:pt>
                <c:pt idx="6">
                  <c:v>PT MNC Asuransi Indonesia</c:v>
                </c:pt>
                <c:pt idx="7">
                  <c:v>PT Asuransi Tugu Pratama Indonesia Tbk.</c:v>
                </c:pt>
                <c:pt idx="8">
                  <c:v>PT Asuransi Multi Artha Guna Tbk.</c:v>
                </c:pt>
                <c:pt idx="9">
                  <c:v>PT Asuransi Kredit Indonesia</c:v>
                </c:pt>
                <c:pt idx="10">
                  <c:v>PT Asuransi Kerugian Jasa Raharja</c:v>
                </c:pt>
              </c:strCache>
            </c:strRef>
          </c:cat>
          <c:val>
            <c:numRef>
              <c:f>'MU Jan26 try avg'!$I$29:$I$39</c:f>
              <c:numCache>
                <c:formatCode>#,##0</c:formatCode>
                <c:ptCount val="11"/>
                <c:pt idx="0">
                  <c:v>11986036555</c:v>
                </c:pt>
                <c:pt idx="1">
                  <c:v>2750817</c:v>
                </c:pt>
                <c:pt idx="2">
                  <c:v>1710575</c:v>
                </c:pt>
                <c:pt idx="3">
                  <c:v>772602</c:v>
                </c:pt>
                <c:pt idx="4">
                  <c:v>595936</c:v>
                </c:pt>
                <c:pt idx="5">
                  <c:v>442125.43</c:v>
                </c:pt>
                <c:pt idx="6">
                  <c:v>415959</c:v>
                </c:pt>
                <c:pt idx="7">
                  <c:v>398078</c:v>
                </c:pt>
                <c:pt idx="8">
                  <c:v>375075</c:v>
                </c:pt>
                <c:pt idx="9">
                  <c:v>360608</c:v>
                </c:pt>
                <c:pt idx="10">
                  <c:v>353825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C-468B-9554-AE7BA250F9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Hasil Underwriting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avg'!$H$42:$H$52</c:f>
              <c:strCache>
                <c:ptCount val="11"/>
                <c:pt idx="0">
                  <c:v>Total</c:v>
                </c:pt>
                <c:pt idx="1">
                  <c:v>PT Asuransi Astra Buana</c:v>
                </c:pt>
                <c:pt idx="2">
                  <c:v>PT Asuransi Simas Insurtech</c:v>
                </c:pt>
                <c:pt idx="3">
                  <c:v>PT BRI Asuransi Indonesia</c:v>
                </c:pt>
                <c:pt idx="4">
                  <c:v>PT Asuransi Sinar Mas</c:v>
                </c:pt>
                <c:pt idx="5">
                  <c:v>PT Asuransi Kerugian Jasa Raharja</c:v>
                </c:pt>
                <c:pt idx="6">
                  <c:v>PT Asuransi Kredit Indonesia</c:v>
                </c:pt>
                <c:pt idx="7">
                  <c:v>PT Zurich Asuransi Indonesia Tbk.</c:v>
                </c:pt>
                <c:pt idx="8">
                  <c:v>PT Asuransi Central Asia</c:v>
                </c:pt>
                <c:pt idx="9">
                  <c:v>PT Asuransi Umum Seainsure</c:v>
                </c:pt>
                <c:pt idx="10">
                  <c:v>PT Lippo General Insurance Tbk.</c:v>
                </c:pt>
              </c:strCache>
            </c:strRef>
          </c:cat>
          <c:val>
            <c:numRef>
              <c:f>'MU Jan26 try avg'!$I$42:$I$52</c:f>
              <c:numCache>
                <c:formatCode>#,##0</c:formatCode>
                <c:ptCount val="11"/>
                <c:pt idx="0">
                  <c:v>1774230768</c:v>
                </c:pt>
                <c:pt idx="1">
                  <c:v>176062</c:v>
                </c:pt>
                <c:pt idx="2">
                  <c:v>165888</c:v>
                </c:pt>
                <c:pt idx="3">
                  <c:v>130552</c:v>
                </c:pt>
                <c:pt idx="4">
                  <c:v>113001</c:v>
                </c:pt>
                <c:pt idx="5">
                  <c:v>81627</c:v>
                </c:pt>
                <c:pt idx="6">
                  <c:v>77736</c:v>
                </c:pt>
                <c:pt idx="7">
                  <c:v>72817</c:v>
                </c:pt>
                <c:pt idx="8">
                  <c:v>67841.48</c:v>
                </c:pt>
                <c:pt idx="9">
                  <c:v>67735</c:v>
                </c:pt>
                <c:pt idx="10">
                  <c:v>59173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5-4C4B-9227-65E145CDF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Solvabilitas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avg'!$H$55:$H$65</c:f>
              <c:strCache>
                <c:ptCount val="11"/>
                <c:pt idx="0">
                  <c:v>Rata-Rata</c:v>
                </c:pt>
                <c:pt idx="1">
                  <c:v>PT Victoria Insurance Tbk.</c:v>
                </c:pt>
                <c:pt idx="2">
                  <c:v>PT Asuransi Kerugian Jasa Raharja</c:v>
                </c:pt>
                <c:pt idx="3">
                  <c:v>PT Asuransi Sumit Oto</c:v>
                </c:pt>
                <c:pt idx="4">
                  <c:v>PT Asuransi Digital Bersama Tbk.</c:v>
                </c:pt>
                <c:pt idx="5">
                  <c:v>PT Asuransi Staco Mandiri</c:v>
                </c:pt>
                <c:pt idx="6">
                  <c:v>PT Asuransi Bina Dana Arta Tbk.</c:v>
                </c:pt>
                <c:pt idx="7">
                  <c:v>PT AIG Insurance Indonesia</c:v>
                </c:pt>
                <c:pt idx="8">
                  <c:v>PT Chubb General Insurance Indonesia</c:v>
                </c:pt>
                <c:pt idx="9">
                  <c:v>PT Meritz Korindo Insurance</c:v>
                </c:pt>
                <c:pt idx="10">
                  <c:v>PT Asuransi Allianz Utama Indonesia</c:v>
                </c:pt>
              </c:strCache>
            </c:strRef>
          </c:cat>
          <c:val>
            <c:numRef>
              <c:f>'MU Jan26 try avg'!$I$55:$I$65</c:f>
              <c:numCache>
                <c:formatCode>0%</c:formatCode>
                <c:ptCount val="11"/>
                <c:pt idx="0">
                  <c:v>3.6469723076923</c:v>
                </c:pt>
                <c:pt idx="1">
                  <c:v>19.63</c:v>
                </c:pt>
                <c:pt idx="2" formatCode="0.00%">
                  <c:v>8.1616</c:v>
                </c:pt>
                <c:pt idx="3">
                  <c:v>8.0299999999999994</c:v>
                </c:pt>
                <c:pt idx="4">
                  <c:v>7.73</c:v>
                </c:pt>
                <c:pt idx="5" formatCode="0.00%">
                  <c:v>7.2218</c:v>
                </c:pt>
                <c:pt idx="6" formatCode="0.00%">
                  <c:v>6.6761999999999997</c:v>
                </c:pt>
                <c:pt idx="7">
                  <c:v>6.54</c:v>
                </c:pt>
                <c:pt idx="8">
                  <c:v>6.32</c:v>
                </c:pt>
                <c:pt idx="9" formatCode="0.00%">
                  <c:v>6.1885000000000003</c:v>
                </c:pt>
                <c:pt idx="10" formatCode="0.0%">
                  <c:v>5.9539999999999997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9-44D8-9CCE-6B798D9FA4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avg'!$H$68:$H$78</c:f>
              <c:strCache>
                <c:ptCount val="11"/>
                <c:pt idx="0">
                  <c:v>Rata-Rata</c:v>
                </c:pt>
                <c:pt idx="1">
                  <c:v>PT Victoria Insurance Tbk.</c:v>
                </c:pt>
                <c:pt idx="2">
                  <c:v>PT Asuransi Kerugian Jasa Raharja</c:v>
                </c:pt>
                <c:pt idx="3">
                  <c:v>PT Asuransi Tugu Pratama Indonesia Tbk.</c:v>
                </c:pt>
                <c:pt idx="4">
                  <c:v>PT Asuransi Bina Dana Arta Tbk.</c:v>
                </c:pt>
                <c:pt idx="5">
                  <c:v>PT Asuransi Sahabat Artha Proteksi</c:v>
                </c:pt>
                <c:pt idx="6">
                  <c:v>PT BRI Asuransi Indonesia</c:v>
                </c:pt>
                <c:pt idx="7">
                  <c:v>PT Meritz Korindo Insurance</c:v>
                </c:pt>
                <c:pt idx="8">
                  <c:v>PT Asuransi Jasa Tania Tbk.</c:v>
                </c:pt>
                <c:pt idx="9">
                  <c:v>PT Chubb General Insurance Indonesia</c:v>
                </c:pt>
                <c:pt idx="10">
                  <c:v>PT Asuransi Allianz Utama Indonesia</c:v>
                </c:pt>
              </c:strCache>
            </c:strRef>
          </c:cat>
          <c:val>
            <c:numRef>
              <c:f>'MU Jan26 try avg'!$I$68:$I$78</c:f>
              <c:numCache>
                <c:formatCode>0%</c:formatCode>
                <c:ptCount val="11"/>
                <c:pt idx="0">
                  <c:v>1.6256999999999999</c:v>
                </c:pt>
                <c:pt idx="1">
                  <c:v>3.47</c:v>
                </c:pt>
                <c:pt idx="2" formatCode="0.00%">
                  <c:v>3.0956000000000001</c:v>
                </c:pt>
                <c:pt idx="3" formatCode="0.00%">
                  <c:v>2.3008000000000002</c:v>
                </c:pt>
                <c:pt idx="4" formatCode="0.00%">
                  <c:v>2.2905000000000002</c:v>
                </c:pt>
                <c:pt idx="5" formatCode="0.00%">
                  <c:v>2.1798000000000002</c:v>
                </c:pt>
                <c:pt idx="6" formatCode="0.00%">
                  <c:v>2.1434000000000002</c:v>
                </c:pt>
                <c:pt idx="7">
                  <c:v>2.11</c:v>
                </c:pt>
                <c:pt idx="8">
                  <c:v>2.1</c:v>
                </c:pt>
                <c:pt idx="9">
                  <c:v>2.08</c:v>
                </c:pt>
                <c:pt idx="10" formatCode="0.0%">
                  <c:v>2.0579999999999998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6-42E0-89E8-6C9D74B38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Aset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avg'!$M$3:$M$13</c:f>
              <c:strCache>
                <c:ptCount val="11"/>
                <c:pt idx="0">
                  <c:v>Total</c:v>
                </c:pt>
                <c:pt idx="1">
                  <c:v> PT Asuransi Jiwa Manulife Indonesia </c:v>
                </c:pt>
                <c:pt idx="2">
                  <c:v> PT Indolife Pensiontama </c:v>
                </c:pt>
                <c:pt idx="3">
                  <c:v> PT Prudential Life Assurance </c:v>
                </c:pt>
                <c:pt idx="4">
                  <c:v> PT AXA Mandiri Financial Services </c:v>
                </c:pt>
                <c:pt idx="5">
                  <c:v> PT AIA Financial </c:v>
                </c:pt>
                <c:pt idx="6">
                  <c:v> PT Asuransi Allianz Life Indonesia </c:v>
                </c:pt>
                <c:pt idx="7">
                  <c:v> PT Asuransi Jiwa IFG </c:v>
                </c:pt>
                <c:pt idx="8">
                  <c:v> PT BNI Life Insurance </c:v>
                </c:pt>
                <c:pt idx="9">
                  <c:v> PT Asuransi BRI Life </c:v>
                </c:pt>
                <c:pt idx="10">
                  <c:v> PT Asuransi Jiwa Sequis Life </c:v>
                </c:pt>
              </c:strCache>
            </c:strRef>
          </c:cat>
          <c:val>
            <c:numRef>
              <c:f>'MU Jan26 try avg'!$N$3:$N$13</c:f>
              <c:numCache>
                <c:formatCode>_(* #,##0_);_(* \(#,##0\);_(* "-"??_);_(@_)</c:formatCode>
                <c:ptCount val="11"/>
                <c:pt idx="0" formatCode="_-* #,##0_-;\-* #,##0_-;_-* &quot;-&quot;??_-;_-@_-">
                  <c:v>617034231.38</c:v>
                </c:pt>
                <c:pt idx="1">
                  <c:v>67581784</c:v>
                </c:pt>
                <c:pt idx="2">
                  <c:v>65633896</c:v>
                </c:pt>
                <c:pt idx="3">
                  <c:v>62215020</c:v>
                </c:pt>
                <c:pt idx="4">
                  <c:v>43944136</c:v>
                </c:pt>
                <c:pt idx="5">
                  <c:v>43177402</c:v>
                </c:pt>
                <c:pt idx="6">
                  <c:v>37890261</c:v>
                </c:pt>
                <c:pt idx="7">
                  <c:v>30028776.379999999</c:v>
                </c:pt>
                <c:pt idx="8">
                  <c:v>29688346</c:v>
                </c:pt>
                <c:pt idx="9">
                  <c:v>27519452</c:v>
                </c:pt>
                <c:pt idx="10">
                  <c:v>23131460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B-4691-802E-F6EB966D8A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avg'!$M$16:$M$26</c:f>
              <c:strCache>
                <c:ptCount val="11"/>
                <c:pt idx="0">
                  <c:v>Total</c:v>
                </c:pt>
                <c:pt idx="1">
                  <c:v> PT Indolife Pensiontama </c:v>
                </c:pt>
                <c:pt idx="2">
                  <c:v> PT Asuransi Jiwa Manulife Indonesia </c:v>
                </c:pt>
                <c:pt idx="3">
                  <c:v> PT Asuransi BRI Life </c:v>
                </c:pt>
                <c:pt idx="4">
                  <c:v> PT Asuransi Jiwa Sequis Life </c:v>
                </c:pt>
                <c:pt idx="5">
                  <c:v> PT AIA Financial </c:v>
                </c:pt>
                <c:pt idx="6">
                  <c:v> PT MSIG Life Insurance Indonesia Tbk. </c:v>
                </c:pt>
                <c:pt idx="7">
                  <c:v> PT Prudential Life Assurance </c:v>
                </c:pt>
                <c:pt idx="8">
                  <c:v> PT Sun Life Financial Indonesia </c:v>
                </c:pt>
                <c:pt idx="9">
                  <c:v> PT Asuransi Allianz Life Indonesia </c:v>
                </c:pt>
                <c:pt idx="10">
                  <c:v> PT BNI Life Insurance </c:v>
                </c:pt>
              </c:strCache>
            </c:strRef>
          </c:cat>
          <c:val>
            <c:numRef>
              <c:f>'MU Jan26 try avg'!$N$16:$N$26</c:f>
              <c:numCache>
                <c:formatCode>_(* #,##0_);_(* \(#,##0\);_(* "-"??_);_(@_)</c:formatCode>
                <c:ptCount val="11"/>
                <c:pt idx="0" formatCode="_-* #,##0_-;\-* #,##0_-;_-* &quot;-&quot;??_-;_-@_-">
                  <c:v>147252589.75</c:v>
                </c:pt>
                <c:pt idx="1">
                  <c:v>20542695</c:v>
                </c:pt>
                <c:pt idx="2">
                  <c:v>16244253</c:v>
                </c:pt>
                <c:pt idx="3">
                  <c:v>11633501</c:v>
                </c:pt>
                <c:pt idx="4">
                  <c:v>9547104</c:v>
                </c:pt>
                <c:pt idx="5">
                  <c:v>8980958</c:v>
                </c:pt>
                <c:pt idx="6">
                  <c:v>7764902</c:v>
                </c:pt>
                <c:pt idx="7">
                  <c:v>7737193</c:v>
                </c:pt>
                <c:pt idx="8">
                  <c:v>7734754</c:v>
                </c:pt>
                <c:pt idx="9">
                  <c:v>7012069</c:v>
                </c:pt>
                <c:pt idx="10">
                  <c:v>6842973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F-4E80-9CED-5A0FD6339C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Pendapatan Premi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avg'!$M$29:$M$39</c:f>
              <c:strCache>
                <c:ptCount val="11"/>
                <c:pt idx="0">
                  <c:v>Total</c:v>
                </c:pt>
                <c:pt idx="1">
                  <c:v> PT Prudential Life Assurance </c:v>
                </c:pt>
                <c:pt idx="2">
                  <c:v> PT Asuransi Allianz Life Indonesia </c:v>
                </c:pt>
                <c:pt idx="3">
                  <c:v> PT Indolife Pensiontama </c:v>
                </c:pt>
                <c:pt idx="4">
                  <c:v> PT BNI Life Insurance </c:v>
                </c:pt>
                <c:pt idx="5">
                  <c:v> PT Asuransi Jiwa Inhealth Indonesia </c:v>
                </c:pt>
                <c:pt idx="6">
                  <c:v> PT AIA Financial </c:v>
                </c:pt>
                <c:pt idx="7">
                  <c:v> PT Asuransi Jiwa Manulife Indonesia </c:v>
                </c:pt>
                <c:pt idx="8">
                  <c:v> PT AXA Mandiri Financial Services </c:v>
                </c:pt>
                <c:pt idx="9">
                  <c:v> PT Asuransi BRI Life </c:v>
                </c:pt>
                <c:pt idx="10">
                  <c:v> PT Asuransi Jiwa Astra </c:v>
                </c:pt>
              </c:strCache>
            </c:strRef>
          </c:cat>
          <c:val>
            <c:numRef>
              <c:f>'MU Jan26 try avg'!$N$29:$N$39</c:f>
              <c:numCache>
                <c:formatCode>_(* #,##0_);_(* \(#,##0\);_(* "-"??_);_(@_)</c:formatCode>
                <c:ptCount val="11"/>
                <c:pt idx="0" formatCode="_-* #,##0_-;\-* #,##0_-;_-* &quot;-&quot;??_-;_-@_-">
                  <c:v>16217950.699999999</c:v>
                </c:pt>
                <c:pt idx="1">
                  <c:v>1868524</c:v>
                </c:pt>
                <c:pt idx="2">
                  <c:v>1603290</c:v>
                </c:pt>
                <c:pt idx="3">
                  <c:v>1201012</c:v>
                </c:pt>
                <c:pt idx="4">
                  <c:v>1158058</c:v>
                </c:pt>
                <c:pt idx="5">
                  <c:v>889819</c:v>
                </c:pt>
                <c:pt idx="6">
                  <c:v>853913</c:v>
                </c:pt>
                <c:pt idx="7">
                  <c:v>824494</c:v>
                </c:pt>
                <c:pt idx="8">
                  <c:v>807599</c:v>
                </c:pt>
                <c:pt idx="9">
                  <c:v>642520</c:v>
                </c:pt>
                <c:pt idx="10">
                  <c:v>619598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A-4468-BC2E-648AEE1485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 Komprehensif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avg'!$M$42:$M$52</c:f>
              <c:strCache>
                <c:ptCount val="11"/>
                <c:pt idx="0">
                  <c:v>Total</c:v>
                </c:pt>
                <c:pt idx="1">
                  <c:v> PT AIA Financial </c:v>
                </c:pt>
                <c:pt idx="2">
                  <c:v> PT Indolife Pensiontama </c:v>
                </c:pt>
                <c:pt idx="3">
                  <c:v> PT Prudential Life Assurance </c:v>
                </c:pt>
                <c:pt idx="4">
                  <c:v> PT AXA Mandiri Financial Services </c:v>
                </c:pt>
                <c:pt idx="5">
                  <c:v> PT Asuransi Allianz Life Indonesia </c:v>
                </c:pt>
                <c:pt idx="6">
                  <c:v> PT Asuransi Jiwa Central Asia Raya </c:v>
                </c:pt>
                <c:pt idx="7">
                  <c:v> PT Asuransi Jiwa Generali Indonesia </c:v>
                </c:pt>
                <c:pt idx="8">
                  <c:v> PT Asuransi Jiwa Inhealth Indonesia </c:v>
                </c:pt>
                <c:pt idx="9">
                  <c:v> PT Asuransi Jiwa BCA </c:v>
                </c:pt>
                <c:pt idx="10">
                  <c:v> PT Asuransi BRI Life </c:v>
                </c:pt>
              </c:strCache>
            </c:strRef>
          </c:cat>
          <c:val>
            <c:numRef>
              <c:f>'MU Jan26 try avg'!$N$42:$N$52</c:f>
              <c:numCache>
                <c:formatCode>_(* #,##0_);_(* \(#,##0\);_(* "-"??_);_(@_)</c:formatCode>
                <c:ptCount val="11"/>
                <c:pt idx="0" formatCode="_-* #,##0_-;\-* #,##0_-;_-* &quot;-&quot;??_-;_-@_-">
                  <c:v>-500478.41</c:v>
                </c:pt>
                <c:pt idx="1">
                  <c:v>401972</c:v>
                </c:pt>
                <c:pt idx="2">
                  <c:v>144845</c:v>
                </c:pt>
                <c:pt idx="3">
                  <c:v>116009</c:v>
                </c:pt>
                <c:pt idx="4">
                  <c:v>106537</c:v>
                </c:pt>
                <c:pt idx="5">
                  <c:v>63060</c:v>
                </c:pt>
                <c:pt idx="6">
                  <c:v>60587</c:v>
                </c:pt>
                <c:pt idx="7">
                  <c:v>37479</c:v>
                </c:pt>
                <c:pt idx="8">
                  <c:v>19914</c:v>
                </c:pt>
                <c:pt idx="9">
                  <c:v>19796</c:v>
                </c:pt>
                <c:pt idx="10">
                  <c:v>19297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8-488A-81A4-AB1C5B43A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Solvabilitas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avg'!$M$55:$M$65</c:f>
              <c:strCache>
                <c:ptCount val="11"/>
                <c:pt idx="0">
                  <c:v>Rata-Rata</c:v>
                </c:pt>
                <c:pt idx="1">
                  <c:v>PT PFI Mega Life Insurance</c:v>
                </c:pt>
                <c:pt idx="2">
                  <c:v>PT Asuransi Jiwa Sealnsure</c:v>
                </c:pt>
                <c:pt idx="3">
                  <c:v>PT MSIG Life Insurance Indonesia Tbk.</c:v>
                </c:pt>
                <c:pt idx="4">
                  <c:v>PT Hanwha Life Insurance Indonesia</c:v>
                </c:pt>
                <c:pt idx="5">
                  <c:v>PT Panin Dai-Chi Life</c:v>
                </c:pt>
                <c:pt idx="6">
                  <c:v>PT Victoria Alife Indonesia</c:v>
                </c:pt>
                <c:pt idx="7">
                  <c:v>PT China Life Insurance Indonesia</c:v>
                </c:pt>
                <c:pt idx="8">
                  <c:v>PT Asuransi Jiwa Starinvestama</c:v>
                </c:pt>
                <c:pt idx="9">
                  <c:v>PT BNI Life Insurance</c:v>
                </c:pt>
                <c:pt idx="10">
                  <c:v>PT Central Asia Financial</c:v>
                </c:pt>
              </c:strCache>
            </c:strRef>
          </c:cat>
          <c:val>
            <c:numRef>
              <c:f>'MU Jan26 try avg'!$N$55:$N$65</c:f>
              <c:numCache>
                <c:formatCode>0.00%</c:formatCode>
                <c:ptCount val="11"/>
                <c:pt idx="0">
                  <c:v>48.534097872339999</c:v>
                </c:pt>
                <c:pt idx="1">
                  <c:v>29.74</c:v>
                </c:pt>
                <c:pt idx="2">
                  <c:v>17.34</c:v>
                </c:pt>
                <c:pt idx="3">
                  <c:v>13.703900000000001</c:v>
                </c:pt>
                <c:pt idx="4">
                  <c:v>11.771000000000001</c:v>
                </c:pt>
                <c:pt idx="5">
                  <c:v>10.99</c:v>
                </c:pt>
                <c:pt idx="6">
                  <c:v>9</c:v>
                </c:pt>
                <c:pt idx="7">
                  <c:v>8.66</c:v>
                </c:pt>
                <c:pt idx="8">
                  <c:v>8.5672999999999995</c:v>
                </c:pt>
                <c:pt idx="9">
                  <c:v>8.3727</c:v>
                </c:pt>
                <c:pt idx="10">
                  <c:v>7.9726999999999997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4-4764-AEC5-CAEB64EC3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avg'!$M$68:$M$78</c:f>
              <c:strCache>
                <c:ptCount val="11"/>
                <c:pt idx="0">
                  <c:v>Rata-Rata</c:v>
                </c:pt>
                <c:pt idx="1">
                  <c:v>PT PFI Mega Life Insurance</c:v>
                </c:pt>
                <c:pt idx="2">
                  <c:v>PT Hanwha Life Insurance Indonesia</c:v>
                </c:pt>
                <c:pt idx="3">
                  <c:v>PT Asuransi Jiwa Starinvestama</c:v>
                </c:pt>
                <c:pt idx="4">
                  <c:v>PT Asuransi Jiwa Nasional</c:v>
                </c:pt>
                <c:pt idx="5">
                  <c:v>PT Central Asia Financial</c:v>
                </c:pt>
                <c:pt idx="6">
                  <c:v>PT Perta Life Insurance</c:v>
                </c:pt>
                <c:pt idx="7">
                  <c:v>PT Victoria Alife Indonesia</c:v>
                </c:pt>
                <c:pt idx="8">
                  <c:v>PT MNC Life Assurance</c:v>
                </c:pt>
                <c:pt idx="9">
                  <c:v>PT Asuransi Jiwa Central Asia Raya</c:v>
                </c:pt>
                <c:pt idx="10">
                  <c:v>PT Bhinneka Life Indonesia</c:v>
                </c:pt>
              </c:strCache>
            </c:strRef>
          </c:cat>
          <c:val>
            <c:numRef>
              <c:f>'MU Jan26 try avg'!$N$68:$N$78</c:f>
              <c:numCache>
                <c:formatCode>0.00%</c:formatCode>
                <c:ptCount val="11"/>
                <c:pt idx="0">
                  <c:v>45.507672340425998</c:v>
                </c:pt>
                <c:pt idx="1">
                  <c:v>7.79</c:v>
                </c:pt>
                <c:pt idx="2">
                  <c:v>7.4253999999999998</c:v>
                </c:pt>
                <c:pt idx="3">
                  <c:v>6.4760999999999997</c:v>
                </c:pt>
                <c:pt idx="4">
                  <c:v>5.1994999999999996</c:v>
                </c:pt>
                <c:pt idx="5">
                  <c:v>5.1079999999999997</c:v>
                </c:pt>
                <c:pt idx="6">
                  <c:v>4.4028999999999998</c:v>
                </c:pt>
                <c:pt idx="7">
                  <c:v>4.08</c:v>
                </c:pt>
                <c:pt idx="8">
                  <c:v>3.3689</c:v>
                </c:pt>
                <c:pt idx="9">
                  <c:v>3.22</c:v>
                </c:pt>
                <c:pt idx="10">
                  <c:v>2.9203000000000001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7-47B5-AE54-DB7D384385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Hasil Underwriting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9041505306600025"/>
          <c:y val="0.13586789064505606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avg'!$H$43:$H$52</c:f>
              <c:strCache>
                <c:ptCount val="10"/>
                <c:pt idx="0">
                  <c:v>PT Asuransi Astra Buana</c:v>
                </c:pt>
                <c:pt idx="1">
                  <c:v>PT Asuransi Simas Insurtech</c:v>
                </c:pt>
                <c:pt idx="2">
                  <c:v>PT BRI Asuransi Indonesia</c:v>
                </c:pt>
                <c:pt idx="3">
                  <c:v>PT Asuransi Sinar Mas</c:v>
                </c:pt>
                <c:pt idx="4">
                  <c:v>PT Asuransi Kerugian Jasa Raharja</c:v>
                </c:pt>
                <c:pt idx="5">
                  <c:v>PT Asuransi Kredit Indonesia</c:v>
                </c:pt>
                <c:pt idx="6">
                  <c:v>PT Zurich Asuransi Indonesia Tbk.</c:v>
                </c:pt>
                <c:pt idx="7">
                  <c:v>PT Asuransi Central Asia</c:v>
                </c:pt>
                <c:pt idx="8">
                  <c:v>PT Asuransi Umum Seainsure</c:v>
                </c:pt>
                <c:pt idx="9">
                  <c:v>PT Lippo General Insurance Tbk.</c:v>
                </c:pt>
              </c:strCache>
            </c:strRef>
          </c:cat>
          <c:val>
            <c:numRef>
              <c:f>'MU Jan26 try avg'!$I$43:$I$52</c:f>
              <c:numCache>
                <c:formatCode>#,##0</c:formatCode>
                <c:ptCount val="10"/>
                <c:pt idx="0">
                  <c:v>176062</c:v>
                </c:pt>
                <c:pt idx="1">
                  <c:v>165888</c:v>
                </c:pt>
                <c:pt idx="2">
                  <c:v>130552</c:v>
                </c:pt>
                <c:pt idx="3">
                  <c:v>113001</c:v>
                </c:pt>
                <c:pt idx="4">
                  <c:v>81627</c:v>
                </c:pt>
                <c:pt idx="5">
                  <c:v>77736</c:v>
                </c:pt>
                <c:pt idx="6">
                  <c:v>72817</c:v>
                </c:pt>
                <c:pt idx="7">
                  <c:v>67841.48</c:v>
                </c:pt>
                <c:pt idx="8">
                  <c:v>67735</c:v>
                </c:pt>
                <c:pt idx="9">
                  <c:v>59173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7-4F77-A52C-308591A1BF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</a:t>
                </a:r>
                <a:r>
                  <a:rPr lang="en-US" baseline="0"/>
                  <a:t>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C00000"/>
                    </a:solidFill>
                  </a:rPr>
                  <a:t>Total Industri = Rp1.774</a:t>
                </a:r>
                <a:r>
                  <a:rPr lang="en-US" sz="900" b="1" baseline="0">
                    <a:solidFill>
                      <a:srgbClr val="C00000"/>
                    </a:solidFill>
                  </a:rPr>
                  <a:t> triliun</a:t>
                </a:r>
                <a:endParaRPr lang="id-ID" sz="900" b="1">
                  <a:solidFill>
                    <a:srgbClr val="C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8161226527276999E-2"/>
              <c:y val="0.92696753534143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Hasil Underwriting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try avg'!$H$43:$H$52</c:f>
              <c:strCache>
                <c:ptCount val="10"/>
                <c:pt idx="0">
                  <c:v>PT Asuransi Astra Buana</c:v>
                </c:pt>
                <c:pt idx="1">
                  <c:v>PT Asuransi Simas Insurtech</c:v>
                </c:pt>
                <c:pt idx="2">
                  <c:v>PT BRI Asuransi Indonesia</c:v>
                </c:pt>
                <c:pt idx="3">
                  <c:v>PT Asuransi Sinar Mas</c:v>
                </c:pt>
                <c:pt idx="4">
                  <c:v>PT Asuransi Kerugian Jasa Raharja</c:v>
                </c:pt>
                <c:pt idx="5">
                  <c:v>PT Asuransi Kredit Indonesia</c:v>
                </c:pt>
                <c:pt idx="6">
                  <c:v>PT Zurich Asuransi Indonesia Tbk.</c:v>
                </c:pt>
                <c:pt idx="7">
                  <c:v>PT Asuransi Central Asia</c:v>
                </c:pt>
                <c:pt idx="8">
                  <c:v>PT Asuransi Umum Seainsure</c:v>
                </c:pt>
                <c:pt idx="9">
                  <c:v>PT Lippo General Insurance Tbk.</c:v>
                </c:pt>
              </c:strCache>
            </c:strRef>
          </c:cat>
          <c:val>
            <c:numRef>
              <c:f>'MU Jan26 try avg'!$I$43:$I$52</c:f>
              <c:numCache>
                <c:formatCode>#,##0</c:formatCode>
                <c:ptCount val="10"/>
                <c:pt idx="0">
                  <c:v>176062</c:v>
                </c:pt>
                <c:pt idx="1">
                  <c:v>165888</c:v>
                </c:pt>
                <c:pt idx="2">
                  <c:v>130552</c:v>
                </c:pt>
                <c:pt idx="3">
                  <c:v>113001</c:v>
                </c:pt>
                <c:pt idx="4">
                  <c:v>81627</c:v>
                </c:pt>
                <c:pt idx="5">
                  <c:v>77736</c:v>
                </c:pt>
                <c:pt idx="6">
                  <c:v>72817</c:v>
                </c:pt>
                <c:pt idx="7">
                  <c:v>67841.48</c:v>
                </c:pt>
                <c:pt idx="8">
                  <c:v>67735</c:v>
                </c:pt>
                <c:pt idx="9">
                  <c:v>59173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9-42A2-8858-924BDFD5B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 Penutupan Tidak Langsung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Reas!$C$2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Reas!$C$3:$C$14</c:f>
              <c:numCache>
                <c:formatCode>General</c:formatCode>
                <c:ptCount val="12"/>
                <c:pt idx="0">
                  <c:v>2231</c:v>
                </c:pt>
                <c:pt idx="1">
                  <c:v>30364</c:v>
                </c:pt>
                <c:pt idx="2">
                  <c:v>65945</c:v>
                </c:pt>
                <c:pt idx="3">
                  <c:v>100172</c:v>
                </c:pt>
                <c:pt idx="4">
                  <c:v>138163</c:v>
                </c:pt>
                <c:pt idx="5">
                  <c:v>164028</c:v>
                </c:pt>
                <c:pt idx="6">
                  <c:v>198173</c:v>
                </c:pt>
                <c:pt idx="7">
                  <c:v>237458</c:v>
                </c:pt>
                <c:pt idx="8">
                  <c:v>272282</c:v>
                </c:pt>
                <c:pt idx="9">
                  <c:v>305083</c:v>
                </c:pt>
                <c:pt idx="10">
                  <c:v>341936</c:v>
                </c:pt>
                <c:pt idx="11">
                  <c:v>372180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B-4C9D-8D80-450003AE1D12}"/>
            </c:ext>
          </c:extLst>
        </c:ser>
        <c:ser>
          <c:idx val="1"/>
          <c:order val="1"/>
          <c:tx>
            <c:strRef>
              <c:f>Reas!$D$2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Reas!$D$3:$D$14</c:f>
              <c:numCache>
                <c:formatCode>General</c:formatCode>
                <c:ptCount val="12"/>
                <c:pt idx="0">
                  <c:v>410915</c:v>
                </c:pt>
                <c:pt idx="1">
                  <c:v>1077069</c:v>
                </c:pt>
                <c:pt idx="2">
                  <c:v>1214480</c:v>
                </c:pt>
                <c:pt idx="3">
                  <c:v>1246050</c:v>
                </c:pt>
                <c:pt idx="4">
                  <c:v>1195995</c:v>
                </c:pt>
                <c:pt idx="5">
                  <c:v>1625759</c:v>
                </c:pt>
                <c:pt idx="6">
                  <c:v>1768587</c:v>
                </c:pt>
                <c:pt idx="7">
                  <c:v>2202928</c:v>
                </c:pt>
                <c:pt idx="8">
                  <c:v>2441788</c:v>
                </c:pt>
                <c:pt idx="9">
                  <c:v>2812338</c:v>
                </c:pt>
                <c:pt idx="10">
                  <c:v>2837655</c:v>
                </c:pt>
                <c:pt idx="11">
                  <c:v>3417995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B-4C9D-8D80-450003AE1D12}"/>
            </c:ext>
          </c:extLst>
        </c:ser>
        <c:ser>
          <c:idx val="2"/>
          <c:order val="2"/>
          <c:tx>
            <c:strRef>
              <c:f>Reas!$E$2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Reas!$E$3:$E$14</c:f>
              <c:numCache>
                <c:formatCode>General</c:formatCode>
                <c:ptCount val="12"/>
                <c:pt idx="0">
                  <c:v>143190</c:v>
                </c:pt>
                <c:pt idx="1">
                  <c:v>464246</c:v>
                </c:pt>
                <c:pt idx="2">
                  <c:v>824044</c:v>
                </c:pt>
                <c:pt idx="3">
                  <c:v>1095407</c:v>
                </c:pt>
                <c:pt idx="4">
                  <c:v>1389155</c:v>
                </c:pt>
                <c:pt idx="5">
                  <c:v>1720543</c:v>
                </c:pt>
                <c:pt idx="6">
                  <c:v>2056315</c:v>
                </c:pt>
                <c:pt idx="7">
                  <c:v>2413428</c:v>
                </c:pt>
                <c:pt idx="8">
                  <c:v>2782754</c:v>
                </c:pt>
                <c:pt idx="9">
                  <c:v>3099134</c:v>
                </c:pt>
                <c:pt idx="10">
                  <c:v>3357098</c:v>
                </c:pt>
                <c:pt idx="11">
                  <c:v>3597896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B-4C9D-8D80-450003AE1D12}"/>
            </c:ext>
          </c:extLst>
        </c:ser>
        <c:ser>
          <c:idx val="3"/>
          <c:order val="3"/>
          <c:tx>
            <c:strRef>
              <c:f>Reas!$F$2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Reas!$F$3:$F$14</c:f>
              <c:numCache>
                <c:formatCode>General</c:formatCode>
                <c:ptCount val="12"/>
                <c:pt idx="0">
                  <c:v>438402</c:v>
                </c:pt>
                <c:pt idx="1">
                  <c:v>624256</c:v>
                </c:pt>
                <c:pt idx="2">
                  <c:v>1055207</c:v>
                </c:pt>
                <c:pt idx="3">
                  <c:v>1262767</c:v>
                </c:pt>
                <c:pt idx="4">
                  <c:v>1685730</c:v>
                </c:pt>
                <c:pt idx="5">
                  <c:v>2102947</c:v>
                </c:pt>
                <c:pt idx="6">
                  <c:v>2310680</c:v>
                </c:pt>
                <c:pt idx="7">
                  <c:v>2506724</c:v>
                </c:pt>
                <c:pt idx="8">
                  <c:v>2757300</c:v>
                </c:pt>
                <c:pt idx="9">
                  <c:v>2900222</c:v>
                </c:pt>
                <c:pt idx="10">
                  <c:v>3197938</c:v>
                </c:pt>
                <c:pt idx="11">
                  <c:v>3509043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B-4C9D-8D80-450003AE1D12}"/>
            </c:ext>
          </c:extLst>
        </c:ser>
        <c:ser>
          <c:idx val="4"/>
          <c:order val="4"/>
          <c:tx>
            <c:strRef>
              <c:f>Reas!$G$2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Reas!$G$3:$G$14</c:f>
              <c:numCache>
                <c:formatCode>General</c:formatCode>
                <c:ptCount val="12"/>
                <c:pt idx="0">
                  <c:v>1113064</c:v>
                </c:pt>
                <c:pt idx="1">
                  <c:v>1681787</c:v>
                </c:pt>
                <c:pt idx="2">
                  <c:v>2225449</c:v>
                </c:pt>
                <c:pt idx="3">
                  <c:v>4517015</c:v>
                </c:pt>
                <c:pt idx="4">
                  <c:v>4814799</c:v>
                </c:pt>
                <c:pt idx="5">
                  <c:v>4979728</c:v>
                </c:pt>
                <c:pt idx="6">
                  <c:v>5504624</c:v>
                </c:pt>
                <c:pt idx="7">
                  <c:v>6054336</c:v>
                </c:pt>
                <c:pt idx="8">
                  <c:v>6398069</c:v>
                </c:pt>
                <c:pt idx="9">
                  <c:v>6783843</c:v>
                </c:pt>
                <c:pt idx="10">
                  <c:v>7036611</c:v>
                </c:pt>
                <c:pt idx="11">
                  <c:v>7369562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B-4C9D-8D80-450003AE1D12}"/>
            </c:ext>
          </c:extLst>
        </c:ser>
        <c:ser>
          <c:idx val="5"/>
          <c:order val="5"/>
          <c:tx>
            <c:strRef>
              <c:f>Reas!$H$2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Reas!$H$3:$H$14</c:f>
              <c:numCache>
                <c:formatCode>General</c:formatCode>
                <c:ptCount val="12"/>
                <c:pt idx="0">
                  <c:v>85797</c:v>
                </c:pt>
                <c:pt idx="1">
                  <c:v>177957</c:v>
                </c:pt>
                <c:pt idx="2">
                  <c:v>257758</c:v>
                </c:pt>
                <c:pt idx="3">
                  <c:v>344219</c:v>
                </c:pt>
                <c:pt idx="4">
                  <c:v>433306</c:v>
                </c:pt>
                <c:pt idx="5">
                  <c:v>856398</c:v>
                </c:pt>
                <c:pt idx="6">
                  <c:v>922047</c:v>
                </c:pt>
                <c:pt idx="7">
                  <c:v>991193</c:v>
                </c:pt>
                <c:pt idx="8">
                  <c:v>1086817</c:v>
                </c:pt>
                <c:pt idx="9">
                  <c:v>1407070</c:v>
                </c:pt>
                <c:pt idx="10">
                  <c:v>1265183</c:v>
                </c:pt>
                <c:pt idx="11">
                  <c:v>1327809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8B-4C9D-8D80-450003AE1D12}"/>
            </c:ext>
          </c:extLst>
        </c:ser>
        <c:ser>
          <c:idx val="6"/>
          <c:order val="6"/>
          <c:tx>
            <c:strRef>
              <c:f>Reas!$I$2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822375192151868E-3"/>
                  <c:y val="-5.5913219161768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D4-4920-BD0A-3DD331A81B25}"/>
                </c:ext>
              </c:extLst>
            </c:dLbl>
            <c:dLbl>
              <c:idx val="1"/>
              <c:layout>
                <c:manualLayout>
                  <c:x val="0"/>
                  <c:y val="-5.5913219161768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2A-4759-9FC6-E966E9DD9077}"/>
                </c:ext>
              </c:extLst>
            </c:dLbl>
            <c:dLbl>
              <c:idx val="2"/>
              <c:layout>
                <c:manualLayout>
                  <c:x val="0"/>
                  <c:y val="-6.150454107794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2A-4759-9FC6-E966E9DD9077}"/>
                </c:ext>
              </c:extLst>
            </c:dLbl>
            <c:dLbl>
              <c:idx val="3"/>
              <c:layout>
                <c:manualLayout>
                  <c:x val="0"/>
                  <c:y val="-6.7095862994122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2A-4759-9FC6-E966E9DD9077}"/>
                </c:ext>
              </c:extLst>
            </c:dLbl>
            <c:dLbl>
              <c:idx val="4"/>
              <c:layout>
                <c:manualLayout>
                  <c:x val="0"/>
                  <c:y val="-6.15045410779452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2A-4759-9FC6-E966E9DD9077}"/>
                </c:ext>
              </c:extLst>
            </c:dLbl>
            <c:dLbl>
              <c:idx val="5"/>
              <c:layout>
                <c:manualLayout>
                  <c:x val="0"/>
                  <c:y val="-8.9461150658829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2A-4759-9FC6-E966E9DD9077}"/>
                </c:ext>
              </c:extLst>
            </c:dLbl>
            <c:dLbl>
              <c:idx val="6"/>
              <c:layout>
                <c:manualLayout>
                  <c:x val="1.7822375192151868E-3"/>
                  <c:y val="-8.9461150658829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2A-4759-9FC6-E966E9DD9077}"/>
                </c:ext>
              </c:extLst>
            </c:dLbl>
            <c:dLbl>
              <c:idx val="7"/>
              <c:layout>
                <c:manualLayout>
                  <c:x val="0"/>
                  <c:y val="-8.9461150658829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2A-4759-9FC6-E966E9DD9077}"/>
                </c:ext>
              </c:extLst>
            </c:dLbl>
            <c:dLbl>
              <c:idx val="8"/>
              <c:layout>
                <c:manualLayout>
                  <c:x val="-1.3069590826549537E-16"/>
                  <c:y val="-0.10064379449118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2A-4759-9FC6-E966E9DD9077}"/>
                </c:ext>
              </c:extLst>
            </c:dLbl>
            <c:dLbl>
              <c:idx val="9"/>
              <c:layout>
                <c:manualLayout>
                  <c:x val="0"/>
                  <c:y val="-0.10064379449118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2A-4759-9FC6-E966E9DD9077}"/>
                </c:ext>
              </c:extLst>
            </c:dLbl>
            <c:dLbl>
              <c:idx val="10"/>
              <c:layout>
                <c:manualLayout>
                  <c:x val="0"/>
                  <c:y val="-0.10064379449118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2A-4759-9FC6-E966E9DD9077}"/>
                </c:ext>
              </c:extLst>
            </c:dLbl>
            <c:numFmt formatCode="&quot;Rp&quot;#,##0" sourceLinked="0"/>
            <c:spPr>
              <a:gradFill flip="none" rotWithShape="1">
                <a:gsLst>
                  <a:gs pos="0">
                    <a:schemeClr val="accent2">
                      <a:lumMod val="5000"/>
                      <a:lumOff val="95000"/>
                    </a:schemeClr>
                  </a:gs>
                  <a:gs pos="74000">
                    <a:schemeClr val="accent2">
                      <a:lumMod val="45000"/>
                      <a:lumOff val="55000"/>
                    </a:schemeClr>
                  </a:gs>
                  <a:gs pos="83000">
                    <a:schemeClr val="accent2">
                      <a:lumMod val="45000"/>
                      <a:lumOff val="55000"/>
                    </a:schemeClr>
                  </a:gs>
                  <a:gs pos="100000">
                    <a:schemeClr val="accent2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Reas!$B$3:$B$14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Reas!$I$3:$I$14</c:f>
              <c:numCache>
                <c:formatCode>#,##0</c:formatCode>
                <c:ptCount val="12"/>
                <c:pt idx="0">
                  <c:v>451716</c:v>
                </c:pt>
                <c:pt idx="1">
                  <c:v>1033818</c:v>
                </c:pt>
                <c:pt idx="2">
                  <c:v>1498329</c:v>
                </c:pt>
                <c:pt idx="3">
                  <c:v>1873951</c:v>
                </c:pt>
                <c:pt idx="4">
                  <c:v>2456883</c:v>
                </c:pt>
                <c:pt idx="5">
                  <c:v>2978031</c:v>
                </c:pt>
                <c:pt idx="6">
                  <c:v>3458988</c:v>
                </c:pt>
                <c:pt idx="7">
                  <c:v>3755632</c:v>
                </c:pt>
                <c:pt idx="8">
                  <c:v>4141468</c:v>
                </c:pt>
                <c:pt idx="9">
                  <c:v>4565592</c:v>
                </c:pt>
                <c:pt idx="10">
                  <c:v>5081860</c:v>
                </c:pt>
                <c:pt idx="11">
                  <c:v>5655179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8B-4C9D-8D80-450003AE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36591"/>
        <c:axId val="1693138991"/>
      </c:barChart>
      <c:catAx>
        <c:axId val="169313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38991"/>
        <c:crosses val="autoZero"/>
        <c:auto val="1"/>
        <c:lblAlgn val="ctr"/>
        <c:lblOffset val="100"/>
        <c:noMultiLvlLbl val="0"/>
      </c:catAx>
      <c:valAx>
        <c:axId val="169313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3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Ekuitas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Reas!$N$2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Reas!$N$3:$N$14</c:f>
              <c:numCache>
                <c:formatCode>_-[$Rp-421]* #,##0_-;\-[$Rp-421]* #,##0_-;_-[$Rp-421]* "-"??_-;_-@_-</c:formatCode>
                <c:ptCount val="12"/>
                <c:pt idx="0">
                  <c:v>775497</c:v>
                </c:pt>
                <c:pt idx="1">
                  <c:v>780028</c:v>
                </c:pt>
                <c:pt idx="2">
                  <c:v>781719</c:v>
                </c:pt>
                <c:pt idx="3">
                  <c:v>787922</c:v>
                </c:pt>
                <c:pt idx="4">
                  <c:v>791857</c:v>
                </c:pt>
                <c:pt idx="5">
                  <c:v>823936</c:v>
                </c:pt>
                <c:pt idx="6">
                  <c:v>841810</c:v>
                </c:pt>
                <c:pt idx="7">
                  <c:v>854291</c:v>
                </c:pt>
                <c:pt idx="8">
                  <c:v>857463</c:v>
                </c:pt>
                <c:pt idx="9">
                  <c:v>877884</c:v>
                </c:pt>
                <c:pt idx="10">
                  <c:v>880138</c:v>
                </c:pt>
                <c:pt idx="11" formatCode="_-[$Rp-421]* #,##0_-;\-[$Rp-421]* #,##0_-;_-[$Rp-421]* &quot;-&quot;_-;_-@_-">
                  <c:v>877931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6-480B-9D4E-8423AC421590}"/>
            </c:ext>
          </c:extLst>
        </c:ser>
        <c:ser>
          <c:idx val="2"/>
          <c:order val="1"/>
          <c:tx>
            <c:strRef>
              <c:f>Reas!$O$2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2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Reas!$O$3:$O$14</c:f>
              <c:numCache>
                <c:formatCode>_-[$Rp-421]* #,##0_-;\-[$Rp-421]* #,##0_-;_-[$Rp-421]* "-"??_-;_-@_-</c:formatCode>
                <c:ptCount val="12"/>
                <c:pt idx="0">
                  <c:v>-1127393</c:v>
                </c:pt>
                <c:pt idx="1">
                  <c:v>-1086672</c:v>
                </c:pt>
                <c:pt idx="2">
                  <c:v>-1045573</c:v>
                </c:pt>
                <c:pt idx="3">
                  <c:v>-1002514</c:v>
                </c:pt>
                <c:pt idx="4">
                  <c:v>-2154426</c:v>
                </c:pt>
                <c:pt idx="5">
                  <c:v>-2096749</c:v>
                </c:pt>
                <c:pt idx="6">
                  <c:v>-1928275</c:v>
                </c:pt>
                <c:pt idx="7">
                  <c:v>-1905693</c:v>
                </c:pt>
                <c:pt idx="8">
                  <c:v>-1900643</c:v>
                </c:pt>
                <c:pt idx="9">
                  <c:v>-1962336</c:v>
                </c:pt>
                <c:pt idx="10">
                  <c:v>-2331410</c:v>
                </c:pt>
                <c:pt idx="11" formatCode="_-[$Rp-421]* #,##0_-;\-[$Rp-421]* #,##0_-;_-[$Rp-421]* &quot;-&quot;_-;_-@_-">
                  <c:v>-2067225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6-480B-9D4E-8423AC421590}"/>
            </c:ext>
          </c:extLst>
        </c:ser>
        <c:ser>
          <c:idx val="3"/>
          <c:order val="2"/>
          <c:tx>
            <c:strRef>
              <c:f>Reas!$P$2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Reas!$P$3:$P$14</c:f>
              <c:numCache>
                <c:formatCode>_-[$Rp-421]* #,##0_-;\-[$Rp-421]* #,##0_-;_-[$Rp-421]* "-"??_-;_-@_-</c:formatCode>
                <c:ptCount val="12"/>
                <c:pt idx="0">
                  <c:v>1508956</c:v>
                </c:pt>
                <c:pt idx="1">
                  <c:v>1541256</c:v>
                </c:pt>
                <c:pt idx="2">
                  <c:v>1491352</c:v>
                </c:pt>
                <c:pt idx="3">
                  <c:v>1536427</c:v>
                </c:pt>
                <c:pt idx="4">
                  <c:v>1550245</c:v>
                </c:pt>
                <c:pt idx="5">
                  <c:v>1556028</c:v>
                </c:pt>
                <c:pt idx="6">
                  <c:v>1580785</c:v>
                </c:pt>
                <c:pt idx="7">
                  <c:v>1612342</c:v>
                </c:pt>
                <c:pt idx="8">
                  <c:v>1636082</c:v>
                </c:pt>
                <c:pt idx="9">
                  <c:v>1669562</c:v>
                </c:pt>
                <c:pt idx="10">
                  <c:v>1524265</c:v>
                </c:pt>
                <c:pt idx="11" formatCode="_-[$Rp-421]* #,##0_-;\-[$Rp-421]* #,##0_-;_-[$Rp-421]* &quot;-&quot;_-;_-@_-">
                  <c:v>1596029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6-480B-9D4E-8423AC421590}"/>
            </c:ext>
          </c:extLst>
        </c:ser>
        <c:ser>
          <c:idx val="4"/>
          <c:order val="3"/>
          <c:tx>
            <c:strRef>
              <c:f>Reas!$Q$2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2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Reas!$Q$3:$Q$14</c:f>
              <c:numCache>
                <c:formatCode>_-[$Rp-421]* #,##0_-;\-[$Rp-421]* #,##0_-;_-[$Rp-421]* "-"??_-;_-@_-</c:formatCode>
                <c:ptCount val="12"/>
                <c:pt idx="0">
                  <c:v>1606042</c:v>
                </c:pt>
                <c:pt idx="1">
                  <c:v>1583183</c:v>
                </c:pt>
                <c:pt idx="2">
                  <c:v>1586505</c:v>
                </c:pt>
                <c:pt idx="3">
                  <c:v>1615745</c:v>
                </c:pt>
                <c:pt idx="4">
                  <c:v>1613516</c:v>
                </c:pt>
                <c:pt idx="5">
                  <c:v>1637222</c:v>
                </c:pt>
                <c:pt idx="6">
                  <c:v>1670076</c:v>
                </c:pt>
                <c:pt idx="7">
                  <c:v>1700338</c:v>
                </c:pt>
                <c:pt idx="8">
                  <c:v>1730723</c:v>
                </c:pt>
                <c:pt idx="9">
                  <c:v>1736488</c:v>
                </c:pt>
                <c:pt idx="10">
                  <c:v>1737505</c:v>
                </c:pt>
                <c:pt idx="11" formatCode="_-[$Rp-421]* #,##0_-;\-[$Rp-421]* #,##0_-;_-[$Rp-421]* &quot;-&quot;_-;_-@_-">
                  <c:v>1753235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6-480B-9D4E-8423AC421590}"/>
            </c:ext>
          </c:extLst>
        </c:ser>
        <c:ser>
          <c:idx val="5"/>
          <c:order val="4"/>
          <c:tx>
            <c:strRef>
              <c:f>Reas!$R$2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Reas!$R$3:$R$14</c:f>
              <c:numCache>
                <c:formatCode>_-[$Rp-421]* #,##0_-;\-[$Rp-421]* #,##0_-;_-[$Rp-421]* "-"??_-;_-@_-</c:formatCode>
                <c:ptCount val="12"/>
                <c:pt idx="0">
                  <c:v>975080</c:v>
                </c:pt>
                <c:pt idx="1">
                  <c:v>985707</c:v>
                </c:pt>
                <c:pt idx="2">
                  <c:v>908175</c:v>
                </c:pt>
                <c:pt idx="3">
                  <c:v>908175</c:v>
                </c:pt>
                <c:pt idx="4">
                  <c:v>990436</c:v>
                </c:pt>
                <c:pt idx="5">
                  <c:v>994164</c:v>
                </c:pt>
                <c:pt idx="6">
                  <c:v>1011578</c:v>
                </c:pt>
                <c:pt idx="7">
                  <c:v>1035872</c:v>
                </c:pt>
                <c:pt idx="8">
                  <c:v>1058143</c:v>
                </c:pt>
                <c:pt idx="9">
                  <c:v>1081415</c:v>
                </c:pt>
                <c:pt idx="10">
                  <c:v>1088566</c:v>
                </c:pt>
                <c:pt idx="11" formatCode="_-[$Rp-421]* #,##0_-;\-[$Rp-421]* #,##0_-;_-[$Rp-421]* &quot;-&quot;_-;_-@_-">
                  <c:v>1087920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06-480B-9D4E-8423AC421590}"/>
            </c:ext>
          </c:extLst>
        </c:ser>
        <c:ser>
          <c:idx val="6"/>
          <c:order val="5"/>
          <c:tx>
            <c:strRef>
              <c:f>Reas!$S$2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2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Reas!$S$3:$S$14</c:f>
              <c:numCache>
                <c:formatCode>_-[$Rp-421]* #,##0_-;\-[$Rp-421]* #,##0_-;_-[$Rp-421]* "-"??_-;_-@_-</c:formatCode>
                <c:ptCount val="12"/>
                <c:pt idx="0">
                  <c:v>335546</c:v>
                </c:pt>
                <c:pt idx="1">
                  <c:v>337070</c:v>
                </c:pt>
                <c:pt idx="2">
                  <c:v>335247</c:v>
                </c:pt>
                <c:pt idx="3">
                  <c:v>336301</c:v>
                </c:pt>
                <c:pt idx="4">
                  <c:v>339241</c:v>
                </c:pt>
                <c:pt idx="5">
                  <c:v>623856</c:v>
                </c:pt>
                <c:pt idx="6">
                  <c:v>625091</c:v>
                </c:pt>
                <c:pt idx="7">
                  <c:v>629744</c:v>
                </c:pt>
                <c:pt idx="8">
                  <c:v>631049</c:v>
                </c:pt>
                <c:pt idx="9">
                  <c:v>633515</c:v>
                </c:pt>
                <c:pt idx="10">
                  <c:v>636965</c:v>
                </c:pt>
                <c:pt idx="11" formatCode="_-[$Rp-421]* #,##0_-;\-[$Rp-421]* #,##0_-;_-[$Rp-421]* &quot;-&quot;_-;_-@_-">
                  <c:v>904952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06-480B-9D4E-8423AC421590}"/>
            </c:ext>
          </c:extLst>
        </c:ser>
        <c:ser>
          <c:idx val="0"/>
          <c:order val="6"/>
          <c:tx>
            <c:strRef>
              <c:f>Reas!$M$2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chemeClr val="accent2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Reas!$L$3:$L$14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Reas!$M$3:$M$14</c:f>
              <c:numCache>
                <c:formatCode>_-[$Rp-421]* #,##0_-;\-[$Rp-421]* #,##0_-;_-[$Rp-421]* "-"??_-;_-@_-</c:formatCode>
                <c:ptCount val="12"/>
                <c:pt idx="0">
                  <c:v>2557083</c:v>
                </c:pt>
                <c:pt idx="1">
                  <c:v>2493244</c:v>
                </c:pt>
                <c:pt idx="2">
                  <c:v>2469929</c:v>
                </c:pt>
                <c:pt idx="3">
                  <c:v>2543996</c:v>
                </c:pt>
                <c:pt idx="4">
                  <c:v>2547660</c:v>
                </c:pt>
                <c:pt idx="5">
                  <c:v>2555177</c:v>
                </c:pt>
                <c:pt idx="6">
                  <c:v>2593201</c:v>
                </c:pt>
                <c:pt idx="7">
                  <c:v>2638913</c:v>
                </c:pt>
                <c:pt idx="8">
                  <c:v>2697403</c:v>
                </c:pt>
                <c:pt idx="9">
                  <c:v>2756231</c:v>
                </c:pt>
                <c:pt idx="10">
                  <c:v>2714506</c:v>
                </c:pt>
                <c:pt idx="11" formatCode="_-[$Rp-421]* #,##0_-;\-[$Rp-421]* #,##0_-;_-[$Rp-421]* &quot;-&quot;_-;_-@_-">
                  <c:v>2812589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6-480B-9D4E-8423AC42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5768223"/>
        <c:axId val="1945758143"/>
      </c:barChart>
      <c:catAx>
        <c:axId val="19457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58143"/>
        <c:crosses val="autoZero"/>
        <c:auto val="1"/>
        <c:lblAlgn val="ctr"/>
        <c:lblOffset val="100"/>
        <c:noMultiLvlLbl val="0"/>
      </c:catAx>
      <c:valAx>
        <c:axId val="19457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6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Rasio Solvabilitas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Reas!$W$2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4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Reas!$W$3:$W$14</c:f>
              <c:numCache>
                <c:formatCode>0.00%</c:formatCode>
                <c:ptCount val="12"/>
                <c:pt idx="0">
                  <c:v>13.0688</c:v>
                </c:pt>
                <c:pt idx="1">
                  <c:v>12.4259</c:v>
                </c:pt>
                <c:pt idx="2">
                  <c:v>11.0313</c:v>
                </c:pt>
                <c:pt idx="3">
                  <c:v>10.9368</c:v>
                </c:pt>
                <c:pt idx="4">
                  <c:v>10.810700000000001</c:v>
                </c:pt>
                <c:pt idx="5">
                  <c:v>11.857100000000001</c:v>
                </c:pt>
                <c:pt idx="6">
                  <c:v>11.6852</c:v>
                </c:pt>
                <c:pt idx="7">
                  <c:v>11.900700000000001</c:v>
                </c:pt>
                <c:pt idx="8">
                  <c:v>11.390499999999999</c:v>
                </c:pt>
                <c:pt idx="9">
                  <c:v>11.488099999999999</c:v>
                </c:pt>
                <c:pt idx="10">
                  <c:v>11.522</c:v>
                </c:pt>
                <c:pt idx="11">
                  <c:v>11.837400000000001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A-4A33-805D-928B63573D87}"/>
            </c:ext>
          </c:extLst>
        </c:ser>
        <c:ser>
          <c:idx val="1"/>
          <c:order val="1"/>
          <c:tx>
            <c:strRef>
              <c:f>Reas!$X$2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4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Reas!$X$3:$X$14</c:f>
              <c:numCache>
                <c:formatCode>0.00%</c:formatCode>
                <c:ptCount val="12"/>
                <c:pt idx="0">
                  <c:v>-0.79990000000000006</c:v>
                </c:pt>
                <c:pt idx="1">
                  <c:v>-0.876</c:v>
                </c:pt>
                <c:pt idx="2">
                  <c:v>-0.72719999999999996</c:v>
                </c:pt>
                <c:pt idx="3">
                  <c:v>-0.67930000000000001</c:v>
                </c:pt>
                <c:pt idx="4">
                  <c:v>-1.6852</c:v>
                </c:pt>
                <c:pt idx="5">
                  <c:v>-1.5590999999999999</c:v>
                </c:pt>
                <c:pt idx="6">
                  <c:v>-1.7834000000000001</c:v>
                </c:pt>
                <c:pt idx="7">
                  <c:v>-1.7358</c:v>
                </c:pt>
                <c:pt idx="8">
                  <c:v>-1.6856</c:v>
                </c:pt>
                <c:pt idx="9">
                  <c:v>-1.5552999999999999</c:v>
                </c:pt>
                <c:pt idx="10">
                  <c:v>-1.7715000000000001</c:v>
                </c:pt>
                <c:pt idx="11">
                  <c:v>1.7060999999999999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A-4A33-805D-928B63573D87}"/>
            </c:ext>
          </c:extLst>
        </c:ser>
        <c:ser>
          <c:idx val="2"/>
          <c:order val="2"/>
          <c:tx>
            <c:strRef>
              <c:f>Reas!$Y$2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Reas!$Y$3:$Y$14</c:f>
              <c:numCache>
                <c:formatCode>0.00%</c:formatCode>
                <c:ptCount val="12"/>
                <c:pt idx="0">
                  <c:v>2.5356999999999998</c:v>
                </c:pt>
                <c:pt idx="1">
                  <c:v>2.4085000000000001</c:v>
                </c:pt>
                <c:pt idx="2">
                  <c:v>2.3708999999999998</c:v>
                </c:pt>
                <c:pt idx="3">
                  <c:v>2.0508999999999999</c:v>
                </c:pt>
                <c:pt idx="4">
                  <c:v>2.1225999999999998</c:v>
                </c:pt>
                <c:pt idx="5">
                  <c:v>2.1139000000000001</c:v>
                </c:pt>
                <c:pt idx="6">
                  <c:v>1.6463000000000001</c:v>
                </c:pt>
                <c:pt idx="7">
                  <c:v>1.7536</c:v>
                </c:pt>
                <c:pt idx="8">
                  <c:v>1.925</c:v>
                </c:pt>
                <c:pt idx="9">
                  <c:v>1.7642</c:v>
                </c:pt>
                <c:pt idx="10">
                  <c:v>1.6369</c:v>
                </c:pt>
                <c:pt idx="11">
                  <c:v>1.2101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4A-4A33-805D-928B63573D87}"/>
            </c:ext>
          </c:extLst>
        </c:ser>
        <c:ser>
          <c:idx val="3"/>
          <c:order val="3"/>
          <c:tx>
            <c:strRef>
              <c:f>Reas!$Z$2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4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Reas!$Z$3:$Z$14</c:f>
              <c:numCache>
                <c:formatCode>0.00%</c:formatCode>
                <c:ptCount val="12"/>
                <c:pt idx="0">
                  <c:v>1.78</c:v>
                </c:pt>
                <c:pt idx="1">
                  <c:v>1.8</c:v>
                </c:pt>
                <c:pt idx="2">
                  <c:v>1.81</c:v>
                </c:pt>
                <c:pt idx="3">
                  <c:v>1.81</c:v>
                </c:pt>
                <c:pt idx="4">
                  <c:v>1.71</c:v>
                </c:pt>
                <c:pt idx="5">
                  <c:v>1.73</c:v>
                </c:pt>
                <c:pt idx="6">
                  <c:v>1.71</c:v>
                </c:pt>
                <c:pt idx="7">
                  <c:v>1.81</c:v>
                </c:pt>
                <c:pt idx="8">
                  <c:v>1.84</c:v>
                </c:pt>
                <c:pt idx="9">
                  <c:v>1.89</c:v>
                </c:pt>
                <c:pt idx="10">
                  <c:v>2.0099999999999998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4A-4A33-805D-928B63573D87}"/>
            </c:ext>
          </c:extLst>
        </c:ser>
        <c:ser>
          <c:idx val="4"/>
          <c:order val="4"/>
          <c:tx>
            <c:strRef>
              <c:f>Reas!$AA$2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4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Reas!$AA$3:$AA$14</c:f>
              <c:numCache>
                <c:formatCode>0.00%</c:formatCode>
                <c:ptCount val="12"/>
                <c:pt idx="0">
                  <c:v>2.8729</c:v>
                </c:pt>
                <c:pt idx="1">
                  <c:v>2.9068000000000001</c:v>
                </c:pt>
                <c:pt idx="2">
                  <c:v>2.6168</c:v>
                </c:pt>
                <c:pt idx="3">
                  <c:v>2.6168</c:v>
                </c:pt>
                <c:pt idx="4">
                  <c:v>2.8847999999999998</c:v>
                </c:pt>
                <c:pt idx="5">
                  <c:v>2.9592000000000001</c:v>
                </c:pt>
                <c:pt idx="6">
                  <c:v>2.8319999999999999</c:v>
                </c:pt>
                <c:pt idx="7">
                  <c:v>2.7235999999999998</c:v>
                </c:pt>
                <c:pt idx="8">
                  <c:v>2.7307999999999999</c:v>
                </c:pt>
                <c:pt idx="9">
                  <c:v>2.8624000000000001</c:v>
                </c:pt>
                <c:pt idx="10">
                  <c:v>3.1575000000000002</c:v>
                </c:pt>
                <c:pt idx="11">
                  <c:v>3.1551999999999998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4A-4A33-805D-928B63573D87}"/>
            </c:ext>
          </c:extLst>
        </c:ser>
        <c:ser>
          <c:idx val="5"/>
          <c:order val="5"/>
          <c:tx>
            <c:strRef>
              <c:f>Reas!$AB$2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Reas!$AB$3:$AB$14</c:f>
              <c:numCache>
                <c:formatCode>0.00%</c:formatCode>
                <c:ptCount val="12"/>
                <c:pt idx="0">
                  <c:v>3.0503999999999998</c:v>
                </c:pt>
                <c:pt idx="1">
                  <c:v>2.7913999999999999</c:v>
                </c:pt>
                <c:pt idx="2">
                  <c:v>2.9599000000000002</c:v>
                </c:pt>
                <c:pt idx="3">
                  <c:v>2.0933000000000002</c:v>
                </c:pt>
                <c:pt idx="4">
                  <c:v>2.0886</c:v>
                </c:pt>
                <c:pt idx="5">
                  <c:v>2.4927000000000001</c:v>
                </c:pt>
                <c:pt idx="6">
                  <c:v>2.7080000000000002</c:v>
                </c:pt>
                <c:pt idx="7">
                  <c:v>3.3142</c:v>
                </c:pt>
                <c:pt idx="8">
                  <c:v>3.3382000000000001</c:v>
                </c:pt>
                <c:pt idx="9">
                  <c:v>3.5491999999999999</c:v>
                </c:pt>
                <c:pt idx="10">
                  <c:v>3.3433000000000002</c:v>
                </c:pt>
                <c:pt idx="11">
                  <c:v>5.1660000000000004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4A-4A33-805D-928B63573D87}"/>
            </c:ext>
          </c:extLst>
        </c:ser>
        <c:ser>
          <c:idx val="6"/>
          <c:order val="6"/>
          <c:tx>
            <c:strRef>
              <c:f>Reas!$AC$2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Reas!$AC$3:$AC$14</c:f>
              <c:numCache>
                <c:formatCode>0.00%</c:formatCode>
                <c:ptCount val="12"/>
                <c:pt idx="0">
                  <c:v>1.3551</c:v>
                </c:pt>
                <c:pt idx="1">
                  <c:v>1.298</c:v>
                </c:pt>
                <c:pt idx="2">
                  <c:v>1.3472</c:v>
                </c:pt>
                <c:pt idx="3">
                  <c:v>1.3862000000000001</c:v>
                </c:pt>
                <c:pt idx="4">
                  <c:v>1.3371</c:v>
                </c:pt>
                <c:pt idx="5">
                  <c:v>1.33</c:v>
                </c:pt>
                <c:pt idx="6">
                  <c:v>1.3147</c:v>
                </c:pt>
                <c:pt idx="7">
                  <c:v>1.3152999999999999</c:v>
                </c:pt>
                <c:pt idx="8">
                  <c:v>1.3171999999999999</c:v>
                </c:pt>
                <c:pt idx="9">
                  <c:v>1.3774999999999999</c:v>
                </c:pt>
                <c:pt idx="10">
                  <c:v>1.335</c:v>
                </c:pt>
                <c:pt idx="11">
                  <c:v>1.407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4A-4A33-805D-928B6357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784543"/>
        <c:axId val="1945776863"/>
      </c:barChart>
      <c:lineChart>
        <c:grouping val="standard"/>
        <c:varyColors val="0"/>
        <c:ser>
          <c:idx val="7"/>
          <c:order val="7"/>
          <c:tx>
            <c:strRef>
              <c:f>Reas!$AD$2</c:f>
              <c:strCache>
                <c:ptCount val="1"/>
                <c:pt idx="0">
                  <c:v>Rata-Rata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030474618900918E-2"/>
                  <c:y val="-0.1347052629634419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AF-49E3-BD8D-417CDD34EF67}"/>
                </c:ext>
              </c:extLst>
            </c:dLbl>
            <c:dLbl>
              <c:idx val="1"/>
              <c:layout>
                <c:manualLayout>
                  <c:x val="-2.8893406111632328E-2"/>
                  <c:y val="-0.122009766999448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4A-4A33-805D-928B63573D87}"/>
                </c:ext>
              </c:extLst>
            </c:dLbl>
            <c:dLbl>
              <c:idx val="2"/>
              <c:layout>
                <c:manualLayout>
                  <c:x val="-3.0030474618900918E-2"/>
                  <c:y val="-0.103192381865907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4A-4A33-805D-928B63573D87}"/>
                </c:ext>
              </c:extLst>
            </c:dLbl>
            <c:dLbl>
              <c:idx val="3"/>
              <c:layout>
                <c:manualLayout>
                  <c:x val="-2.8627621892930687E-2"/>
                  <c:y val="-0.107380529227629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F4A-4A33-805D-928B63573D87}"/>
                </c:ext>
              </c:extLst>
            </c:dLbl>
            <c:dLbl>
              <c:idx val="4"/>
              <c:layout>
                <c:manualLayout>
                  <c:x val="-3.0103851764119647E-2"/>
                  <c:y val="-7.7744228139707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4A-4A33-805D-928B63573D87}"/>
                </c:ext>
              </c:extLst>
            </c:dLbl>
            <c:dLbl>
              <c:idx val="5"/>
              <c:layout>
                <c:manualLayout>
                  <c:x val="-3.11139426926345E-2"/>
                  <c:y val="-6.1971754403636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4A-4A33-805D-928B63573D87}"/>
                </c:ext>
              </c:extLst>
            </c:dLbl>
            <c:dLbl>
              <c:idx val="6"/>
              <c:layout>
                <c:manualLayout>
                  <c:x val="-2.8766613361959747E-2"/>
                  <c:y val="-6.1971754403636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4A-4A33-805D-928B63573D87}"/>
                </c:ext>
              </c:extLst>
            </c:dLbl>
            <c:dLbl>
              <c:idx val="7"/>
              <c:layout>
                <c:manualLayout>
                  <c:x val="-3.1113942692634414E-2"/>
                  <c:y val="-6.1971754403636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4A-4A33-805D-928B63573D87}"/>
                </c:ext>
              </c:extLst>
            </c:dLbl>
            <c:dLbl>
              <c:idx val="8"/>
              <c:layout>
                <c:manualLayout>
                  <c:x val="-2.8766613361959747E-2"/>
                  <c:y val="-6.63983082896109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4A-4A33-805D-928B63573D87}"/>
                </c:ext>
              </c:extLst>
            </c:dLbl>
            <c:dLbl>
              <c:idx val="9"/>
              <c:layout>
                <c:manualLayout>
                  <c:x val="-3.1113942692634414E-2"/>
                  <c:y val="-6.63983082896109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4A-4A33-805D-928B63573D87}"/>
                </c:ext>
              </c:extLst>
            </c:dLbl>
            <c:dLbl>
              <c:idx val="10"/>
              <c:layout>
                <c:manualLayout>
                  <c:x val="-2.9432367712281745E-2"/>
                  <c:y val="-8.4104523833507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4A-4A33-805D-928B63573D87}"/>
                </c:ext>
              </c:extLst>
            </c:dLbl>
            <c:dLbl>
              <c:idx val="11"/>
              <c:layout>
                <c:manualLayout>
                  <c:x val="-2.8016995759765892E-2"/>
                  <c:y val="-8.0320132914373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F4A-4A33-805D-928B63573D87}"/>
                </c:ext>
              </c:extLst>
            </c:dLbl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Reas!$V$3:$V$14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Reas!$AD$3:$AD$14</c:f>
              <c:numCache>
                <c:formatCode>0.00%</c:formatCode>
                <c:ptCount val="12"/>
                <c:pt idx="0">
                  <c:v>3.4089999999999998</c:v>
                </c:pt>
                <c:pt idx="1">
                  <c:v>3.2506571428571434</c:v>
                </c:pt>
                <c:pt idx="2">
                  <c:v>3.058414285714286</c:v>
                </c:pt>
                <c:pt idx="3">
                  <c:v>2.8878142857142857</c:v>
                </c:pt>
                <c:pt idx="4">
                  <c:v>2.7526571428571431</c:v>
                </c:pt>
                <c:pt idx="5">
                  <c:v>2.9891142857142858</c:v>
                </c:pt>
                <c:pt idx="6">
                  <c:v>2.8732571428571423</c:v>
                </c:pt>
                <c:pt idx="7">
                  <c:v>3.011657142857143</c:v>
                </c:pt>
                <c:pt idx="8">
                  <c:v>2.9794428571428568</c:v>
                </c:pt>
                <c:pt idx="9">
                  <c:v>3.0537285714285716</c:v>
                </c:pt>
                <c:pt idx="10">
                  <c:v>3.0333142857142859</c:v>
                </c:pt>
                <c:pt idx="11">
                  <c:v>3.7831142857142859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4A-4A33-805D-928B6357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784543"/>
        <c:axId val="1945776863"/>
      </c:lineChart>
      <c:catAx>
        <c:axId val="194578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76863"/>
        <c:crosses val="autoZero"/>
        <c:auto val="1"/>
        <c:lblAlgn val="ctr"/>
        <c:lblOffset val="100"/>
        <c:noMultiLvlLbl val="0"/>
      </c:catAx>
      <c:valAx>
        <c:axId val="1945776863"/>
        <c:scaling>
          <c:orientation val="minMax"/>
          <c:max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8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801051545218882E-2"/>
          <c:y val="0.16436565578541162"/>
          <c:w val="0.94839789690956222"/>
          <c:h val="0.62124675952472908"/>
        </c:manualLayout>
      </c:layout>
      <c:lineChart>
        <c:grouping val="percentStacked"/>
        <c:varyColors val="0"/>
        <c:ser>
          <c:idx val="0"/>
          <c:order val="0"/>
          <c:tx>
            <c:strRef>
              <c:f>Reas!$L$33</c:f>
              <c:strCache>
                <c:ptCount val="1"/>
                <c:pt idx="0">
                  <c:v>MAIPARK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Reas!$L$34:$L$43</c:f>
              <c:numCache>
                <c:formatCode>0.00%</c:formatCode>
                <c:ptCount val="10"/>
                <c:pt idx="0" formatCode="0%">
                  <c:v>12.61</c:v>
                </c:pt>
                <c:pt idx="1">
                  <c:v>1.1718</c:v>
                </c:pt>
                <c:pt idx="2">
                  <c:v>0.51900000000000002</c:v>
                </c:pt>
                <c:pt idx="3">
                  <c:v>0.37930000000000003</c:v>
                </c:pt>
                <c:pt idx="4">
                  <c:v>0.18720000000000001</c:v>
                </c:pt>
                <c:pt idx="5">
                  <c:v>0.2082</c:v>
                </c:pt>
                <c:pt idx="6">
                  <c:v>0.19819999999999999</c:v>
                </c:pt>
                <c:pt idx="7">
                  <c:v>0.1467</c:v>
                </c:pt>
                <c:pt idx="8">
                  <c:v>0.1205</c:v>
                </c:pt>
                <c:pt idx="9">
                  <c:v>0.1208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8-4488-A461-CB3234EFB9A7}"/>
            </c:ext>
          </c:extLst>
        </c:ser>
        <c:ser>
          <c:idx val="1"/>
          <c:order val="1"/>
          <c:tx>
            <c:strRef>
              <c:f>Reas!$M$33</c:f>
              <c:strCache>
                <c:ptCount val="1"/>
                <c:pt idx="0">
                  <c:v>NASRE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Reas!$M$34:$M$43</c:f>
              <c:numCache>
                <c:formatCode>0.00%</c:formatCode>
                <c:ptCount val="10"/>
                <c:pt idx="0">
                  <c:v>1.6211</c:v>
                </c:pt>
                <c:pt idx="1">
                  <c:v>0.12759999999999999</c:v>
                </c:pt>
                <c:pt idx="2">
                  <c:v>2.5999999999999999E-2</c:v>
                </c:pt>
                <c:pt idx="3">
                  <c:v>-4.02E-2</c:v>
                </c:pt>
                <c:pt idx="4">
                  <c:v>0.35930000000000001</c:v>
                </c:pt>
                <c:pt idx="5">
                  <c:v>8.7900000000000006E-2</c:v>
                </c:pt>
                <c:pt idx="6">
                  <c:v>0.24560000000000001</c:v>
                </c:pt>
                <c:pt idx="7">
                  <c:v>0.1084</c:v>
                </c:pt>
                <c:pt idx="8">
                  <c:v>0.15179999999999999</c:v>
                </c:pt>
                <c:pt idx="9">
                  <c:v>8.9999999999999993E-3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8-4488-A461-CB3234EFB9A7}"/>
            </c:ext>
          </c:extLst>
        </c:ser>
        <c:ser>
          <c:idx val="2"/>
          <c:order val="2"/>
          <c:tx>
            <c:strRef>
              <c:f>Reas!$N$33</c:f>
              <c:strCache>
                <c:ptCount val="1"/>
                <c:pt idx="0">
                  <c:v>MAREIN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Reas!$N$34:$N$43</c:f>
              <c:numCache>
                <c:formatCode>0.0%</c:formatCode>
                <c:ptCount val="10"/>
                <c:pt idx="0" formatCode="0.00%">
                  <c:v>2.2422</c:v>
                </c:pt>
                <c:pt idx="1">
                  <c:v>0.77500000000000002</c:v>
                </c:pt>
                <c:pt idx="2" formatCode="0.00%">
                  <c:v>0.32929999999999998</c:v>
                </c:pt>
                <c:pt idx="3" formatCode="0.00%">
                  <c:v>0.26819999999999999</c:v>
                </c:pt>
                <c:pt idx="4" formatCode="0.00%">
                  <c:v>0.23860000000000001</c:v>
                </c:pt>
                <c:pt idx="5" formatCode="0.00%">
                  <c:v>0.19520000000000001</c:v>
                </c:pt>
                <c:pt idx="6" formatCode="0.00%">
                  <c:v>0.17369999999999999</c:v>
                </c:pt>
                <c:pt idx="7" formatCode="0.00%">
                  <c:v>0.153</c:v>
                </c:pt>
                <c:pt idx="8" formatCode="0.00%">
                  <c:v>0.1137</c:v>
                </c:pt>
                <c:pt idx="9" formatCode="0.00%">
                  <c:v>8.3199999999999996E-2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28-4488-A461-CB3234EFB9A7}"/>
            </c:ext>
          </c:extLst>
        </c:ser>
        <c:ser>
          <c:idx val="3"/>
          <c:order val="3"/>
          <c:tx>
            <c:strRef>
              <c:f>Reas!$O$33</c:f>
              <c:strCache>
                <c:ptCount val="1"/>
                <c:pt idx="0">
                  <c:v>TUGURE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Reas!$O$34:$O$43</c:f>
              <c:numCache>
                <c:formatCode>0.00%</c:formatCode>
                <c:ptCount val="10"/>
                <c:pt idx="0">
                  <c:v>0.4239</c:v>
                </c:pt>
                <c:pt idx="1">
                  <c:v>0.69030000000000002</c:v>
                </c:pt>
                <c:pt idx="2">
                  <c:v>0.19670000000000001</c:v>
                </c:pt>
                <c:pt idx="3">
                  <c:v>0.33489999999999998</c:v>
                </c:pt>
                <c:pt idx="4">
                  <c:v>0.2475</c:v>
                </c:pt>
                <c:pt idx="5">
                  <c:v>9.8799999999999999E-2</c:v>
                </c:pt>
                <c:pt idx="6">
                  <c:v>8.48E-2</c:v>
                </c:pt>
                <c:pt idx="7" formatCode="0%">
                  <c:v>0.1</c:v>
                </c:pt>
                <c:pt idx="8">
                  <c:v>5.1799999999999999E-2</c:v>
                </c:pt>
                <c:pt idx="9">
                  <c:v>0.1027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28-4488-A461-CB3234EFB9A7}"/>
            </c:ext>
          </c:extLst>
        </c:ser>
        <c:ser>
          <c:idx val="4"/>
          <c:order val="4"/>
          <c:tx>
            <c:strRef>
              <c:f>Reas!$P$33</c:f>
              <c:strCache>
                <c:ptCount val="1"/>
                <c:pt idx="0">
                  <c:v>NUSRE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Reas!$P$34:$P$43</c:f>
              <c:numCache>
                <c:formatCode>0.00%</c:formatCode>
                <c:ptCount val="10"/>
                <c:pt idx="0">
                  <c:v>0.51100000000000001</c:v>
                </c:pt>
                <c:pt idx="1">
                  <c:v>0.32329999999999998</c:v>
                </c:pt>
                <c:pt idx="2">
                  <c:v>1.0297000000000001</c:v>
                </c:pt>
                <c:pt idx="3">
                  <c:v>6.59E-2</c:v>
                </c:pt>
                <c:pt idx="4">
                  <c:v>3.4299999999999997E-2</c:v>
                </c:pt>
                <c:pt idx="5">
                  <c:v>0.10539999999999999</c:v>
                </c:pt>
                <c:pt idx="6">
                  <c:v>9.9900000000000003E-2</c:v>
                </c:pt>
                <c:pt idx="7">
                  <c:v>5.6800000000000003E-2</c:v>
                </c:pt>
                <c:pt idx="8">
                  <c:v>6.0299999999999999E-2</c:v>
                </c:pt>
                <c:pt idx="9">
                  <c:v>3.73E-2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28-4488-A461-CB3234EFB9A7}"/>
            </c:ext>
          </c:extLst>
        </c:ser>
        <c:ser>
          <c:idx val="5"/>
          <c:order val="5"/>
          <c:tx>
            <c:strRef>
              <c:f>Reas!$Q$33</c:f>
              <c:strCache>
                <c:ptCount val="1"/>
                <c:pt idx="0">
                  <c:v>INARE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Reas!$Q$34:$Q$43</c:f>
              <c:numCache>
                <c:formatCode>0.00%</c:formatCode>
                <c:ptCount val="10"/>
                <c:pt idx="0">
                  <c:v>1.0742</c:v>
                </c:pt>
                <c:pt idx="1">
                  <c:v>0.44840000000000002</c:v>
                </c:pt>
                <c:pt idx="2">
                  <c:v>0.33539999999999998</c:v>
                </c:pt>
                <c:pt idx="3">
                  <c:v>0.25879999999999997</c:v>
                </c:pt>
                <c:pt idx="4">
                  <c:v>0.97640000000000005</c:v>
                </c:pt>
                <c:pt idx="5">
                  <c:v>7.6700000000000004E-2</c:v>
                </c:pt>
                <c:pt idx="6">
                  <c:v>7.4999999999999997E-2</c:v>
                </c:pt>
                <c:pt idx="7">
                  <c:v>9.6500000000000002E-2</c:v>
                </c:pt>
                <c:pt idx="8">
                  <c:v>0.29470000000000002</c:v>
                </c:pt>
                <c:pt idx="9">
                  <c:v>-0.1008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28-4488-A461-CB3234EFB9A7}"/>
            </c:ext>
          </c:extLst>
        </c:ser>
        <c:ser>
          <c:idx val="6"/>
          <c:order val="6"/>
          <c:tx>
            <c:strRef>
              <c:f>Reas!$R$33</c:f>
              <c:strCache>
                <c:ptCount val="1"/>
                <c:pt idx="0">
                  <c:v>RIU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Reas!$K$34:$K$43</c:f>
              <c:strCache>
                <c:ptCount val="10"/>
                <c:pt idx="0">
                  <c:v>Februari</c:v>
                </c:pt>
                <c:pt idx="1">
                  <c:v>Maret</c:v>
                </c:pt>
                <c:pt idx="2">
                  <c:v>April</c:v>
                </c:pt>
                <c:pt idx="3">
                  <c:v>Mei</c:v>
                </c:pt>
                <c:pt idx="4">
                  <c:v>Juni</c:v>
                </c:pt>
                <c:pt idx="5">
                  <c:v>Juli</c:v>
                </c:pt>
                <c:pt idx="6">
                  <c:v>Agustus</c:v>
                </c:pt>
                <c:pt idx="7">
                  <c:v>September</c:v>
                </c:pt>
                <c:pt idx="8">
                  <c:v>Oktober</c:v>
                </c:pt>
                <c:pt idx="9">
                  <c:v>November</c:v>
                </c:pt>
              </c:strCache>
            </c:strRef>
          </c:cat>
          <c:val>
            <c:numRef>
              <c:f>Reas!$R$34:$R$43</c:f>
              <c:numCache>
                <c:formatCode>0.00%</c:formatCode>
                <c:ptCount val="10"/>
                <c:pt idx="0">
                  <c:v>1.2886</c:v>
                </c:pt>
                <c:pt idx="1">
                  <c:v>0.44929999999999998</c:v>
                </c:pt>
                <c:pt idx="2">
                  <c:v>0.25069999999999998</c:v>
                </c:pt>
                <c:pt idx="3">
                  <c:v>0.31109999999999999</c:v>
                </c:pt>
                <c:pt idx="4">
                  <c:v>0.21210000000000001</c:v>
                </c:pt>
                <c:pt idx="5">
                  <c:v>0.1615</c:v>
                </c:pt>
                <c:pt idx="6">
                  <c:v>8.5800000000000001E-2</c:v>
                </c:pt>
                <c:pt idx="7">
                  <c:v>0.1027</c:v>
                </c:pt>
                <c:pt idx="8">
                  <c:v>0.1024</c:v>
                </c:pt>
                <c:pt idx="9">
                  <c:v>0.11310000000000001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28-4488-A461-CB3234EFB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955376"/>
        <c:axId val="329955856"/>
      </c:lineChart>
      <c:catAx>
        <c:axId val="32995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55856"/>
        <c:crosses val="autoZero"/>
        <c:auto val="1"/>
        <c:lblAlgn val="ctr"/>
        <c:lblOffset val="100"/>
        <c:noMultiLvlLbl val="0"/>
      </c:catAx>
      <c:valAx>
        <c:axId val="32995585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2995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Laba</a:t>
            </a:r>
            <a:r>
              <a:rPr lang="en-US" baseline="0"/>
              <a:t> Bersih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Reas!$AQ$2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Reas!$AQ$3:$AQ$14</c:f>
              <c:numCache>
                <c:formatCode>_-* #,##0_-;\-* #,##0_-;_-* "-"??_-;_-@_-</c:formatCode>
                <c:ptCount val="12"/>
                <c:pt idx="0">
                  <c:v>2102</c:v>
                </c:pt>
                <c:pt idx="1">
                  <c:v>3429</c:v>
                </c:pt>
                <c:pt idx="2">
                  <c:v>8824</c:v>
                </c:pt>
                <c:pt idx="3">
                  <c:v>14620</c:v>
                </c:pt>
                <c:pt idx="4">
                  <c:v>17806</c:v>
                </c:pt>
                <c:pt idx="5">
                  <c:v>23884</c:v>
                </c:pt>
                <c:pt idx="6">
                  <c:v>39508</c:v>
                </c:pt>
                <c:pt idx="7">
                  <c:v>45815</c:v>
                </c:pt>
                <c:pt idx="8">
                  <c:v>50866</c:v>
                </c:pt>
                <c:pt idx="9">
                  <c:v>64497</c:v>
                </c:pt>
                <c:pt idx="10">
                  <c:v>71238</c:v>
                </c:pt>
                <c:pt idx="11" formatCode="#,##0">
                  <c:v>65019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0-4814-9C09-40DF371D9F05}"/>
            </c:ext>
          </c:extLst>
        </c:ser>
        <c:ser>
          <c:idx val="1"/>
          <c:order val="1"/>
          <c:tx>
            <c:strRef>
              <c:f>Reas!$AR$2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Reas!$AR$3:$AR$14</c:f>
              <c:numCache>
                <c:formatCode>_-* #,##0_-;\-* #,##0_-;_-* "-"??_-;_-@_-</c:formatCode>
                <c:ptCount val="12"/>
                <c:pt idx="0">
                  <c:v>112090</c:v>
                </c:pt>
                <c:pt idx="1">
                  <c:v>145880</c:v>
                </c:pt>
                <c:pt idx="2">
                  <c:v>193366</c:v>
                </c:pt>
                <c:pt idx="3">
                  <c:v>222437</c:v>
                </c:pt>
                <c:pt idx="4">
                  <c:v>303792</c:v>
                </c:pt>
                <c:pt idx="5">
                  <c:v>354891</c:v>
                </c:pt>
                <c:pt idx="6">
                  <c:v>515405</c:v>
                </c:pt>
                <c:pt idx="7">
                  <c:v>526890</c:v>
                </c:pt>
                <c:pt idx="8">
                  <c:v>528014</c:v>
                </c:pt>
                <c:pt idx="9">
                  <c:v>454384</c:v>
                </c:pt>
                <c:pt idx="10">
                  <c:v>95321</c:v>
                </c:pt>
                <c:pt idx="11" formatCode="#,##0">
                  <c:v>354543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0-4814-9C09-40DF371D9F05}"/>
            </c:ext>
          </c:extLst>
        </c:ser>
        <c:ser>
          <c:idx val="2"/>
          <c:order val="2"/>
          <c:tx>
            <c:strRef>
              <c:f>Reas!$AS$2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Reas!$AS$3:$AS$14</c:f>
              <c:numCache>
                <c:formatCode>_-* #,##0_-;\-* #,##0_-;_-* "-"??_-;_-@_-</c:formatCode>
                <c:ptCount val="12"/>
                <c:pt idx="0">
                  <c:v>56563</c:v>
                </c:pt>
                <c:pt idx="1">
                  <c:v>76149</c:v>
                </c:pt>
                <c:pt idx="2">
                  <c:v>50819</c:v>
                </c:pt>
                <c:pt idx="3">
                  <c:v>60657</c:v>
                </c:pt>
                <c:pt idx="4">
                  <c:v>69932</c:v>
                </c:pt>
                <c:pt idx="5">
                  <c:v>69596</c:v>
                </c:pt>
                <c:pt idx="6">
                  <c:v>83155</c:v>
                </c:pt>
                <c:pt idx="7">
                  <c:v>92886</c:v>
                </c:pt>
                <c:pt idx="8">
                  <c:v>110924</c:v>
                </c:pt>
                <c:pt idx="9">
                  <c:v>106282</c:v>
                </c:pt>
                <c:pt idx="10">
                  <c:v>2026</c:v>
                </c:pt>
                <c:pt idx="11" formatCode="#,##0">
                  <c:v>35222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0-4814-9C09-40DF371D9F05}"/>
            </c:ext>
          </c:extLst>
        </c:ser>
        <c:ser>
          <c:idx val="3"/>
          <c:order val="3"/>
          <c:tx>
            <c:strRef>
              <c:f>Reas!$AT$2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Reas!$AT$3:$AT$14</c:f>
              <c:numCache>
                <c:formatCode>_-* #,##0_-;\-* #,##0_-;_-* "-"??_-;_-@_-</c:formatCode>
                <c:ptCount val="12"/>
                <c:pt idx="0">
                  <c:v>65838</c:v>
                </c:pt>
                <c:pt idx="1">
                  <c:v>48686</c:v>
                </c:pt>
                <c:pt idx="2">
                  <c:v>50068</c:v>
                </c:pt>
                <c:pt idx="3">
                  <c:v>79886</c:v>
                </c:pt>
                <c:pt idx="4">
                  <c:v>75800</c:v>
                </c:pt>
                <c:pt idx="5">
                  <c:v>87705</c:v>
                </c:pt>
                <c:pt idx="6">
                  <c:v>113109</c:v>
                </c:pt>
                <c:pt idx="7">
                  <c:v>128335</c:v>
                </c:pt>
                <c:pt idx="8">
                  <c:v>149820</c:v>
                </c:pt>
                <c:pt idx="9">
                  <c:v>147234</c:v>
                </c:pt>
                <c:pt idx="10">
                  <c:v>163027</c:v>
                </c:pt>
                <c:pt idx="11" formatCode="#,##0">
                  <c:v>172151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0-4814-9C09-40DF371D9F05}"/>
            </c:ext>
          </c:extLst>
        </c:ser>
        <c:ser>
          <c:idx val="4"/>
          <c:order val="4"/>
          <c:tx>
            <c:strRef>
              <c:f>Reas!$AU$2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Reas!$AU$3:$AU$14</c:f>
              <c:numCache>
                <c:formatCode>_-* #,##0_-;\-* #,##0_-;_-* "-"??_-;_-@_-</c:formatCode>
                <c:ptCount val="12"/>
                <c:pt idx="0">
                  <c:v>20681</c:v>
                </c:pt>
                <c:pt idx="1">
                  <c:v>25570</c:v>
                </c:pt>
                <c:pt idx="2">
                  <c:v>8745</c:v>
                </c:pt>
                <c:pt idx="3">
                  <c:v>47711</c:v>
                </c:pt>
                <c:pt idx="4">
                  <c:v>83991</c:v>
                </c:pt>
                <c:pt idx="5">
                  <c:v>82004</c:v>
                </c:pt>
                <c:pt idx="6">
                  <c:v>97349</c:v>
                </c:pt>
                <c:pt idx="7">
                  <c:v>117703</c:v>
                </c:pt>
                <c:pt idx="8">
                  <c:v>136799</c:v>
                </c:pt>
                <c:pt idx="9">
                  <c:v>155377</c:v>
                </c:pt>
                <c:pt idx="10">
                  <c:v>164036</c:v>
                </c:pt>
                <c:pt idx="11" formatCode="#,##0">
                  <c:v>161597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0-4814-9C09-40DF371D9F05}"/>
            </c:ext>
          </c:extLst>
        </c:ser>
        <c:ser>
          <c:idx val="5"/>
          <c:order val="5"/>
          <c:tx>
            <c:strRef>
              <c:f>Reas!$AV$2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Reas!$AV$3:$AV$14</c:f>
              <c:numCache>
                <c:formatCode>_-* #,##0_-;\-* #,##0_-;_-* "-"??_-;_-@_-</c:formatCode>
                <c:ptCount val="12"/>
                <c:pt idx="0">
                  <c:v>2985</c:v>
                </c:pt>
                <c:pt idx="1">
                  <c:v>5459</c:v>
                </c:pt>
                <c:pt idx="2">
                  <c:v>3262</c:v>
                </c:pt>
                <c:pt idx="3">
                  <c:v>7854</c:v>
                </c:pt>
                <c:pt idx="4">
                  <c:v>10580</c:v>
                </c:pt>
                <c:pt idx="5">
                  <c:v>45914</c:v>
                </c:pt>
                <c:pt idx="6">
                  <c:v>51017</c:v>
                </c:pt>
                <c:pt idx="7">
                  <c:v>52380</c:v>
                </c:pt>
                <c:pt idx="8">
                  <c:v>102492</c:v>
                </c:pt>
                <c:pt idx="9">
                  <c:v>55659</c:v>
                </c:pt>
                <c:pt idx="10">
                  <c:v>63723</c:v>
                </c:pt>
                <c:pt idx="11" formatCode="#,##0">
                  <c:v>55006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30-4814-9C09-40DF371D9F05}"/>
            </c:ext>
          </c:extLst>
        </c:ser>
        <c:ser>
          <c:idx val="6"/>
          <c:order val="6"/>
          <c:tx>
            <c:strRef>
              <c:f>Reas!$AW$2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3973878687337455E-3"/>
                  <c:y val="-6.00527510270914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EC-4291-82D5-DE25544C6A54}"/>
                </c:ext>
              </c:extLst>
            </c:dLbl>
            <c:dLbl>
              <c:idx val="1"/>
              <c:layout>
                <c:manualLayout>
                  <c:x val="2.0466806989953117E-3"/>
                  <c:y val="0.261228024596089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A6-4811-88D4-6E21B490587B}"/>
                </c:ext>
              </c:extLst>
            </c:dLbl>
            <c:dLbl>
              <c:idx val="2"/>
              <c:layout>
                <c:manualLayout>
                  <c:x val="-5.3211458019848694E-3"/>
                  <c:y val="0.333786942346928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A6-4811-88D4-6E21B490587B}"/>
                </c:ext>
              </c:extLst>
            </c:dLbl>
            <c:dLbl>
              <c:idx val="3"/>
              <c:layout>
                <c:manualLayout>
                  <c:x val="-3.2745166709679057E-3"/>
                  <c:y val="0.228560579866775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8C-4085-B5DF-F3399C6AC4DC}"/>
                </c:ext>
              </c:extLst>
            </c:dLbl>
            <c:dLbl>
              <c:idx val="4"/>
              <c:layout>
                <c:manualLayout>
                  <c:x val="-4.0931833131512049E-3"/>
                  <c:y val="0.316337348990265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A6-4811-88D4-6E21B490587B}"/>
                </c:ext>
              </c:extLst>
            </c:dLbl>
            <c:dLbl>
              <c:idx val="5"/>
              <c:layout>
                <c:manualLayout>
                  <c:x val="-4.9118499553344255E-3"/>
                  <c:y val="0.3915985041803666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8C-4085-B5DF-F3399C6AC4DC}"/>
                </c:ext>
              </c:extLst>
            </c:dLbl>
            <c:dLbl>
              <c:idx val="6"/>
              <c:layout>
                <c:manualLayout>
                  <c:x val="5.1216257098711177E-6"/>
                  <c:y val="0.31899938588494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A6-4811-88D4-6E21B490587B}"/>
                </c:ext>
              </c:extLst>
            </c:dLbl>
            <c:dLbl>
              <c:idx val="7"/>
              <c:layout>
                <c:manualLayout>
                  <c:x val="-2.0480002428806255E-2"/>
                  <c:y val="-4.463958743048856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8C-4085-B5DF-F3399C6AC4DC}"/>
                </c:ext>
              </c:extLst>
            </c:dLbl>
            <c:dLbl>
              <c:idx val="8"/>
              <c:layout>
                <c:manualLayout>
                  <c:x val="-1.9251133977391224E-2"/>
                  <c:y val="-5.94877294004080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A6-4811-88D4-6E21B490587B}"/>
                </c:ext>
              </c:extLst>
            </c:dLbl>
            <c:dLbl>
              <c:idx val="9"/>
              <c:layout>
                <c:manualLayout>
                  <c:x val="8.6016220201521314E-3"/>
                  <c:y val="-5.39931404585822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A6-4811-88D4-6E21B490587B}"/>
                </c:ext>
              </c:extLst>
            </c:dLbl>
            <c:dLbl>
              <c:idx val="10"/>
              <c:layout>
                <c:manualLayout>
                  <c:x val="8.1922709722147703E-4"/>
                  <c:y val="-5.42035885737511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A6-4811-88D4-6E21B490587B}"/>
                </c:ext>
              </c:extLst>
            </c:dLbl>
            <c:dLbl>
              <c:idx val="11"/>
              <c:layout>
                <c:manualLayout>
                  <c:x val="-5.73436307681987E-3"/>
                  <c:y val="-8.03662093340060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4A6-4811-88D4-6E21B490587B}"/>
                </c:ext>
              </c:extLst>
            </c:dLbl>
            <c:numFmt formatCode="&quot;Rp&quot;#,##0" sourceLinked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Reas!$AP$3:$AP$14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Reas!$AW$3:$AW$14</c:f>
              <c:numCache>
                <c:formatCode>"Rp"#,##0</c:formatCode>
                <c:ptCount val="12"/>
                <c:pt idx="0">
                  <c:v>15045</c:v>
                </c:pt>
                <c:pt idx="1">
                  <c:v>-37553</c:v>
                </c:pt>
                <c:pt idx="2">
                  <c:v>-32899</c:v>
                </c:pt>
                <c:pt idx="3">
                  <c:v>-5516</c:v>
                </c:pt>
                <c:pt idx="4">
                  <c:v>-17062</c:v>
                </c:pt>
                <c:pt idx="5">
                  <c:v>-14148</c:v>
                </c:pt>
                <c:pt idx="6">
                  <c:v>-1067</c:v>
                </c:pt>
                <c:pt idx="7">
                  <c:v>1254</c:v>
                </c:pt>
                <c:pt idx="8">
                  <c:v>37951</c:v>
                </c:pt>
                <c:pt idx="9">
                  <c:v>41554</c:v>
                </c:pt>
                <c:pt idx="10">
                  <c:v>25412</c:v>
                </c:pt>
                <c:pt idx="11">
                  <c:v>52892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30-4814-9C09-40DF371D9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0837952"/>
        <c:axId val="2110846112"/>
      </c:barChart>
      <c:catAx>
        <c:axId val="21108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46112"/>
        <c:crosses val="autoZero"/>
        <c:auto val="1"/>
        <c:lblAlgn val="ctr"/>
        <c:lblOffset val="100"/>
        <c:noMultiLvlLbl val="0"/>
      </c:catAx>
      <c:valAx>
        <c:axId val="211084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8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Rasio</a:t>
            </a:r>
            <a:r>
              <a:rPr lang="en-US" baseline="0"/>
              <a:t> Likuiditas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Reas!$AG$2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8.3643318545370236E-3"/>
                  <c:y val="-7.9704101752493525E-2"/>
                </c:manualLayout>
              </c:layout>
              <c:tx>
                <c:rich>
                  <a:bodyPr/>
                  <a:lstStyle/>
                  <a:p>
                    <a:fld id="{896BE6C8-27FC-464F-B637-AC273AF69141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727E-4D18-8FC8-5E44F9F7CD39}"/>
                </c:ext>
              </c:extLst>
            </c:dLbl>
            <c:dLbl>
              <c:idx val="1"/>
              <c:layout>
                <c:manualLayout>
                  <c:x val="8.3865822608156382E-3"/>
                  <c:y val="-8.4848934748719476E-2"/>
                </c:manualLayout>
              </c:layout>
              <c:tx>
                <c:rich>
                  <a:bodyPr/>
                  <a:lstStyle/>
                  <a:p>
                    <a:fld id="{C6ACFCE1-A36C-458A-A48A-8806B5539BD8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727E-4D18-8FC8-5E44F9F7CD3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D23724-EC66-4B09-B861-68E7EC8D304E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727E-4D18-8FC8-5E44F9F7CD39}"/>
                </c:ext>
              </c:extLst>
            </c:dLbl>
            <c:dLbl>
              <c:idx val="3"/>
              <c:layout>
                <c:manualLayout>
                  <c:x val="1.9501845860950946E-2"/>
                  <c:y val="-8.9562823555644655E-2"/>
                </c:manualLayout>
              </c:layout>
              <c:tx>
                <c:rich>
                  <a:bodyPr/>
                  <a:lstStyle/>
                  <a:p>
                    <a:fld id="{920504EA-A666-422B-A74B-D9294095C6CE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727E-4D18-8FC8-5E44F9F7CD3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2809E7D-2E1A-4F91-8F81-36AFDE29D330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727E-4D18-8FC8-5E44F9F7CD39}"/>
                </c:ext>
              </c:extLst>
            </c:dLbl>
            <c:dLbl>
              <c:idx val="5"/>
              <c:layout>
                <c:manualLayout>
                  <c:x val="1.6773164521631329E-2"/>
                  <c:y val="-8.9562764456981664E-2"/>
                </c:manualLayout>
              </c:layout>
              <c:tx>
                <c:rich>
                  <a:bodyPr/>
                  <a:lstStyle/>
                  <a:p>
                    <a:fld id="{8C3BDD47-0264-4B2B-AC07-55F2EE1D0D51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727E-4D18-8FC8-5E44F9F7CD3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8C4A87-11CC-4632-B27B-E6CEAF07AC3D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727E-4D18-8FC8-5E44F9F7CD39}"/>
                </c:ext>
              </c:extLst>
            </c:dLbl>
            <c:dLbl>
              <c:idx val="7"/>
              <c:layout>
                <c:manualLayout>
                  <c:x val="1.3977637101359441E-2"/>
                  <c:y val="-8.0135105040457275E-2"/>
                </c:manualLayout>
              </c:layout>
              <c:tx>
                <c:rich>
                  <a:bodyPr/>
                  <a:lstStyle/>
                  <a:p>
                    <a:fld id="{24AFB6F0-1DEE-4ECD-8914-0E2167486FE1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727E-4D18-8FC8-5E44F9F7CD3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3BE3E08-51F8-47FD-B831-E2ACF84F8FB1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727E-4D18-8FC8-5E44F9F7CD39}"/>
                </c:ext>
              </c:extLst>
            </c:dLbl>
            <c:dLbl>
              <c:idx val="9"/>
              <c:layout>
                <c:manualLayout>
                  <c:x val="1.6773164521631228E-2"/>
                  <c:y val="-7.0707445623932982E-2"/>
                </c:manualLayout>
              </c:layout>
              <c:tx>
                <c:rich>
                  <a:bodyPr/>
                  <a:lstStyle/>
                  <a:p>
                    <a:fld id="{9E8BA4D9-3AB6-40F9-9437-47CA87938920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727E-4D18-8FC8-5E44F9F7CD39}"/>
                </c:ext>
              </c:extLst>
            </c:dLbl>
            <c:dLbl>
              <c:idx val="10"/>
              <c:layout>
                <c:manualLayout>
                  <c:x val="1.6773164521631329E-2"/>
                  <c:y val="3.7710637666097543E-2"/>
                </c:manualLayout>
              </c:layout>
              <c:tx>
                <c:rich>
                  <a:bodyPr/>
                  <a:lstStyle/>
                  <a:p>
                    <a:fld id="{4785C85B-5EF6-4720-A895-88AAE03C75CD}" type="VALUE">
                      <a:rPr lang="en-US" sz="500" baseline="0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727E-4D18-8FC8-5E44F9F7CD39}"/>
                </c:ext>
              </c:extLst>
            </c:dLbl>
            <c:dLbl>
              <c:idx val="11"/>
              <c:layout>
                <c:manualLayout>
                  <c:x val="3.1197744460394101E-2"/>
                  <c:y val="-0.10367285682121533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6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/>
                      <a:t>121.27%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showDataLabelsRange val="0"/>
                </c:ext>
                <c:ext xmlns:c16="http://schemas.microsoft.com/office/drawing/2014/chart" uri="{C3380CC4-5D6E-409C-BE32-E72D297353CC}">
                  <c16:uniqueId val="{00000001-AA7E-4B65-85A6-CD805CF7272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Reas!$AG$3:$AG$14</c:f>
              <c:numCache>
                <c:formatCode>0.00%</c:formatCode>
                <c:ptCount val="12"/>
                <c:pt idx="0">
                  <c:v>1.3362000000000001</c:v>
                </c:pt>
                <c:pt idx="1">
                  <c:v>1.3275999999999999</c:v>
                </c:pt>
                <c:pt idx="2">
                  <c:v>1.3302</c:v>
                </c:pt>
                <c:pt idx="3">
                  <c:v>1.1935</c:v>
                </c:pt>
                <c:pt idx="4">
                  <c:v>1.1897</c:v>
                </c:pt>
                <c:pt idx="5">
                  <c:v>1.1962999999999999</c:v>
                </c:pt>
                <c:pt idx="6">
                  <c:v>1.1987000000000001</c:v>
                </c:pt>
                <c:pt idx="7">
                  <c:v>1.2050000000000001</c:v>
                </c:pt>
                <c:pt idx="8">
                  <c:v>1.2125999999999999</c:v>
                </c:pt>
                <c:pt idx="9">
                  <c:v>1.2175</c:v>
                </c:pt>
                <c:pt idx="10">
                  <c:v>1.2152000000000001</c:v>
                </c:pt>
                <c:pt idx="11">
                  <c:v>1.2126999999999999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E-4D18-8FC8-5E44F9F7CD39}"/>
            </c:ext>
          </c:extLst>
        </c:ser>
        <c:ser>
          <c:idx val="1"/>
          <c:order val="1"/>
          <c:tx>
            <c:strRef>
              <c:f>Reas!$AH$2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Reas!$AH$3:$AH$14</c:f>
              <c:numCache>
                <c:formatCode>0.00%</c:formatCode>
                <c:ptCount val="12"/>
                <c:pt idx="0">
                  <c:v>3.8626999999999998</c:v>
                </c:pt>
                <c:pt idx="1">
                  <c:v>3.6821000000000002</c:v>
                </c:pt>
                <c:pt idx="2">
                  <c:v>3.4870999999999999</c:v>
                </c:pt>
                <c:pt idx="3">
                  <c:v>3.4870999999999999</c:v>
                </c:pt>
                <c:pt idx="4">
                  <c:v>3.0884</c:v>
                </c:pt>
                <c:pt idx="5">
                  <c:v>3.3410000000000002</c:v>
                </c:pt>
                <c:pt idx="6">
                  <c:v>3.7555000000000001</c:v>
                </c:pt>
                <c:pt idx="7">
                  <c:v>3.6139000000000001</c:v>
                </c:pt>
                <c:pt idx="8">
                  <c:v>3.5081000000000002</c:v>
                </c:pt>
                <c:pt idx="9">
                  <c:v>3.524</c:v>
                </c:pt>
                <c:pt idx="10">
                  <c:v>3.4597000000000002</c:v>
                </c:pt>
                <c:pt idx="11">
                  <c:v>3.4691000000000001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E-4D18-8FC8-5E44F9F7CD39}"/>
            </c:ext>
          </c:extLst>
        </c:ser>
        <c:ser>
          <c:idx val="2"/>
          <c:order val="2"/>
          <c:tx>
            <c:strRef>
              <c:f>Reas!$AI$2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Reas!$AI$3:$AI$14</c:f>
              <c:numCache>
                <c:formatCode>0.00%</c:formatCode>
                <c:ptCount val="12"/>
                <c:pt idx="0">
                  <c:v>1.052</c:v>
                </c:pt>
                <c:pt idx="1">
                  <c:v>1.073</c:v>
                </c:pt>
                <c:pt idx="2">
                  <c:v>1.0780000000000001</c:v>
                </c:pt>
                <c:pt idx="3">
                  <c:v>1.0920000000000001</c:v>
                </c:pt>
                <c:pt idx="4" formatCode="0%">
                  <c:v>0.93</c:v>
                </c:pt>
                <c:pt idx="5" formatCode="0.0%">
                  <c:v>0.97299999999999998</c:v>
                </c:pt>
                <c:pt idx="6" formatCode="0.0%">
                  <c:v>0.89500000000000002</c:v>
                </c:pt>
                <c:pt idx="7" formatCode="0.0%">
                  <c:v>0.95899999999999996</c:v>
                </c:pt>
                <c:pt idx="8" formatCode="0.0%">
                  <c:v>0.97699999999999998</c:v>
                </c:pt>
                <c:pt idx="9" formatCode="0.0%">
                  <c:v>0.95599999999999996</c:v>
                </c:pt>
                <c:pt idx="10" formatCode="0.0%">
                  <c:v>0.68700000000000006</c:v>
                </c:pt>
                <c:pt idx="11">
                  <c:v>0.90400000000000003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E-4D18-8FC8-5E44F9F7CD39}"/>
            </c:ext>
          </c:extLst>
        </c:ser>
        <c:ser>
          <c:idx val="3"/>
          <c:order val="3"/>
          <c:tx>
            <c:strRef>
              <c:f>Reas!$AJ$2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Reas!$AJ$3:$AJ$14</c:f>
              <c:numCache>
                <c:formatCode>0.00%</c:formatCode>
                <c:ptCount val="12"/>
                <c:pt idx="0">
                  <c:v>1.3381000000000001</c:v>
                </c:pt>
                <c:pt idx="1">
                  <c:v>1.3347</c:v>
                </c:pt>
                <c:pt idx="2">
                  <c:v>1.3117000000000001</c:v>
                </c:pt>
                <c:pt idx="3">
                  <c:v>1.3325</c:v>
                </c:pt>
                <c:pt idx="4" formatCode="0%">
                  <c:v>1.34</c:v>
                </c:pt>
                <c:pt idx="5">
                  <c:v>1.3357000000000001</c:v>
                </c:pt>
                <c:pt idx="6">
                  <c:v>1.3426</c:v>
                </c:pt>
                <c:pt idx="7">
                  <c:v>1.3452</c:v>
                </c:pt>
                <c:pt idx="8">
                  <c:v>1.3427</c:v>
                </c:pt>
                <c:pt idx="9">
                  <c:v>1.2970999999999999</c:v>
                </c:pt>
                <c:pt idx="10">
                  <c:v>1.2939000000000001</c:v>
                </c:pt>
                <c:pt idx="11">
                  <c:v>1.3038000000000001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E-4D18-8FC8-5E44F9F7CD39}"/>
            </c:ext>
          </c:extLst>
        </c:ser>
        <c:ser>
          <c:idx val="4"/>
          <c:order val="4"/>
          <c:tx>
            <c:strRef>
              <c:f>Reas!$AK$2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Reas!$AK$3:$AK$14</c:f>
              <c:numCache>
                <c:formatCode>0%</c:formatCode>
                <c:ptCount val="12"/>
                <c:pt idx="0">
                  <c:v>1.84</c:v>
                </c:pt>
                <c:pt idx="1">
                  <c:v>1.95</c:v>
                </c:pt>
                <c:pt idx="2">
                  <c:v>2.04</c:v>
                </c:pt>
                <c:pt idx="3">
                  <c:v>1.99</c:v>
                </c:pt>
                <c:pt idx="4">
                  <c:v>2.0299999999999998</c:v>
                </c:pt>
                <c:pt idx="5">
                  <c:v>1.94</c:v>
                </c:pt>
                <c:pt idx="6">
                  <c:v>1.93</c:v>
                </c:pt>
                <c:pt idx="7">
                  <c:v>1.88</c:v>
                </c:pt>
                <c:pt idx="8">
                  <c:v>1.91</c:v>
                </c:pt>
                <c:pt idx="9">
                  <c:v>1.95</c:v>
                </c:pt>
                <c:pt idx="10">
                  <c:v>1.96</c:v>
                </c:pt>
                <c:pt idx="11">
                  <c:v>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E-4D18-8FC8-5E44F9F7CD39}"/>
            </c:ext>
          </c:extLst>
        </c:ser>
        <c:ser>
          <c:idx val="5"/>
          <c:order val="5"/>
          <c:tx>
            <c:strRef>
              <c:f>Reas!$AL$2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Reas!$AL$3:$AL$14</c:f>
              <c:numCache>
                <c:formatCode>0.00%</c:formatCode>
                <c:ptCount val="12"/>
                <c:pt idx="0">
                  <c:v>1.5593999999999999</c:v>
                </c:pt>
                <c:pt idx="1">
                  <c:v>1.5203</c:v>
                </c:pt>
                <c:pt idx="2">
                  <c:v>1.5922000000000001</c:v>
                </c:pt>
                <c:pt idx="3">
                  <c:v>1.4641</c:v>
                </c:pt>
                <c:pt idx="4">
                  <c:v>1.5286</c:v>
                </c:pt>
                <c:pt idx="5">
                  <c:v>1.8666</c:v>
                </c:pt>
                <c:pt idx="6">
                  <c:v>1.8207</c:v>
                </c:pt>
                <c:pt idx="7">
                  <c:v>1.6489</c:v>
                </c:pt>
                <c:pt idx="8">
                  <c:v>1.8157000000000001</c:v>
                </c:pt>
                <c:pt idx="9">
                  <c:v>1.8619000000000001</c:v>
                </c:pt>
                <c:pt idx="10">
                  <c:v>1.8198000000000001</c:v>
                </c:pt>
                <c:pt idx="11">
                  <c:v>1.8540000000000001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E-4D18-8FC8-5E44F9F7CD39}"/>
            </c:ext>
          </c:extLst>
        </c:ser>
        <c:ser>
          <c:idx val="6"/>
          <c:order val="6"/>
          <c:tx>
            <c:strRef>
              <c:f>Reas!$AM$2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Reas!$AF$3:$AF$14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Reas!$AM$3:$AM$14</c:f>
              <c:numCache>
                <c:formatCode>0.00%</c:formatCode>
                <c:ptCount val="12"/>
                <c:pt idx="0">
                  <c:v>1.5616000000000001</c:v>
                </c:pt>
                <c:pt idx="1">
                  <c:v>1.4772000000000001</c:v>
                </c:pt>
                <c:pt idx="2">
                  <c:v>1.4644999999999999</c:v>
                </c:pt>
                <c:pt idx="3">
                  <c:v>1.4229000000000001</c:v>
                </c:pt>
                <c:pt idx="4">
                  <c:v>1.401</c:v>
                </c:pt>
                <c:pt idx="5">
                  <c:v>1.4123000000000001</c:v>
                </c:pt>
                <c:pt idx="6">
                  <c:v>1.4417</c:v>
                </c:pt>
                <c:pt idx="7">
                  <c:v>1.5789</c:v>
                </c:pt>
                <c:pt idx="8">
                  <c:v>1.6432</c:v>
                </c:pt>
                <c:pt idx="9">
                  <c:v>1.4459</c:v>
                </c:pt>
                <c:pt idx="10">
                  <c:v>1.3996</c:v>
                </c:pt>
                <c:pt idx="11">
                  <c:v>1.7727999999999999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E-4D18-8FC8-5E44F9F7C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212047"/>
        <c:axId val="1846215407"/>
      </c:barChart>
      <c:catAx>
        <c:axId val="184621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15407"/>
        <c:crosses val="autoZero"/>
        <c:auto val="1"/>
        <c:lblAlgn val="ctr"/>
        <c:lblOffset val="100"/>
        <c:noMultiLvlLbl val="0"/>
      </c:catAx>
      <c:valAx>
        <c:axId val="184621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1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Premi Bruto Reasuransi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Reas!$BA$2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alpha val="41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Reas!$BA$3:$BA$14</c:f>
              <c:numCache>
                <c:formatCode>_-[$Rp-3809]* #,##0_-;\-[$Rp-3809]* #,##0_-;_-[$Rp-3809]* "-"??_-;_-@_-</c:formatCode>
                <c:ptCount val="12"/>
                <c:pt idx="0">
                  <c:v>389558</c:v>
                </c:pt>
                <c:pt idx="1">
                  <c:v>868545</c:v>
                </c:pt>
                <c:pt idx="2">
                  <c:v>1251828</c:v>
                </c:pt>
                <c:pt idx="3">
                  <c:v>1573235</c:v>
                </c:pt>
                <c:pt idx="4">
                  <c:v>2054360</c:v>
                </c:pt>
                <c:pt idx="5">
                  <c:v>2480095</c:v>
                </c:pt>
                <c:pt idx="6">
                  <c:v>2877426</c:v>
                </c:pt>
                <c:pt idx="7">
                  <c:v>3114517</c:v>
                </c:pt>
                <c:pt idx="8">
                  <c:v>3341385</c:v>
                </c:pt>
                <c:pt idx="9">
                  <c:v>3689724</c:v>
                </c:pt>
                <c:pt idx="10">
                  <c:v>4105823</c:v>
                </c:pt>
                <c:pt idx="11">
                  <c:v>4571002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9-49EE-BD00-C704148F2B6B}"/>
            </c:ext>
          </c:extLst>
        </c:ser>
        <c:ser>
          <c:idx val="1"/>
          <c:order val="1"/>
          <c:tx>
            <c:strRef>
              <c:f>Reas!$BB$2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Reas!$BB$3:$BB$14</c:f>
              <c:numCache>
                <c:formatCode>_-[$Rp-3809]* #,##0_-;\-[$Rp-3809]* #,##0_-;_-[$Rp-3809]* "-"??_-;_-@_-</c:formatCode>
                <c:ptCount val="12"/>
                <c:pt idx="0">
                  <c:v>2025</c:v>
                </c:pt>
                <c:pt idx="1">
                  <c:v>20320</c:v>
                </c:pt>
                <c:pt idx="2">
                  <c:v>43547</c:v>
                </c:pt>
                <c:pt idx="3">
                  <c:v>65823</c:v>
                </c:pt>
                <c:pt idx="4">
                  <c:v>90668</c:v>
                </c:pt>
                <c:pt idx="5">
                  <c:v>107648</c:v>
                </c:pt>
                <c:pt idx="6">
                  <c:v>129931</c:v>
                </c:pt>
                <c:pt idx="7">
                  <c:v>155467</c:v>
                </c:pt>
                <c:pt idx="8">
                  <c:v>178409</c:v>
                </c:pt>
                <c:pt idx="9">
                  <c:v>199775</c:v>
                </c:pt>
                <c:pt idx="10">
                  <c:v>223834</c:v>
                </c:pt>
                <c:pt idx="11">
                  <c:v>243479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29-49EE-BD00-C704148F2B6B}"/>
            </c:ext>
          </c:extLst>
        </c:ser>
        <c:ser>
          <c:idx val="2"/>
          <c:order val="2"/>
          <c:tx>
            <c:strRef>
              <c:f>Reas!$BC$2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Reas!$BC$3:$BC$14</c:f>
              <c:numCache>
                <c:formatCode>_-[$Rp-3809]* #,##0_-;\-[$Rp-3809]* #,##0_-;_-[$Rp-3809]* "-"??_-;_-@_-</c:formatCode>
                <c:ptCount val="12"/>
                <c:pt idx="0">
                  <c:v>337554</c:v>
                </c:pt>
                <c:pt idx="1">
                  <c:v>882968</c:v>
                </c:pt>
                <c:pt idx="2">
                  <c:v>991392</c:v>
                </c:pt>
                <c:pt idx="3">
                  <c:v>1029294</c:v>
                </c:pt>
                <c:pt idx="4">
                  <c:v>972979</c:v>
                </c:pt>
                <c:pt idx="5">
                  <c:v>1321964</c:v>
                </c:pt>
                <c:pt idx="6">
                  <c:v>1435561</c:v>
                </c:pt>
                <c:pt idx="7">
                  <c:v>1631653</c:v>
                </c:pt>
                <c:pt idx="8">
                  <c:v>1991748</c:v>
                </c:pt>
                <c:pt idx="9">
                  <c:v>2304099</c:v>
                </c:pt>
                <c:pt idx="10">
                  <c:v>2317521</c:v>
                </c:pt>
                <c:pt idx="11">
                  <c:v>2683772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29-49EE-BD00-C704148F2B6B}"/>
            </c:ext>
          </c:extLst>
        </c:ser>
        <c:ser>
          <c:idx val="3"/>
          <c:order val="3"/>
          <c:tx>
            <c:strRef>
              <c:f>Reas!$BD$2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Reas!$BD$3:$BD$14</c:f>
              <c:numCache>
                <c:formatCode>_-[$Rp-3809]* #,##0_-;\-[$Rp-3809]* #,##0_-;_-[$Rp-3809]* "-"??_-;_-@_-</c:formatCode>
                <c:ptCount val="12"/>
                <c:pt idx="0">
                  <c:v>116500</c:v>
                </c:pt>
                <c:pt idx="1">
                  <c:v>383687</c:v>
                </c:pt>
                <c:pt idx="2">
                  <c:v>695029</c:v>
                </c:pt>
                <c:pt idx="3">
                  <c:v>925458</c:v>
                </c:pt>
                <c:pt idx="4">
                  <c:v>1175946</c:v>
                </c:pt>
                <c:pt idx="5">
                  <c:v>1445501</c:v>
                </c:pt>
                <c:pt idx="6">
                  <c:v>1741981</c:v>
                </c:pt>
                <c:pt idx="7">
                  <c:v>2054718</c:v>
                </c:pt>
                <c:pt idx="8">
                  <c:v>2368129</c:v>
                </c:pt>
                <c:pt idx="9">
                  <c:v>2639419</c:v>
                </c:pt>
                <c:pt idx="10">
                  <c:v>2865706</c:v>
                </c:pt>
                <c:pt idx="11">
                  <c:v>3078055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29-49EE-BD00-C704148F2B6B}"/>
            </c:ext>
          </c:extLst>
        </c:ser>
        <c:ser>
          <c:idx val="4"/>
          <c:order val="4"/>
          <c:tx>
            <c:strRef>
              <c:f>Reas!$BE$2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Reas!$BE$3:$BE$14</c:f>
              <c:numCache>
                <c:formatCode>_-[$Rp-3809]* #,##0_-;\-[$Rp-3809]* #,##0_-;_-[$Rp-3809]* "-"??_-;_-@_-</c:formatCode>
                <c:ptCount val="12"/>
                <c:pt idx="0">
                  <c:v>380466</c:v>
                </c:pt>
                <c:pt idx="1">
                  <c:v>519508</c:v>
                </c:pt>
                <c:pt idx="2">
                  <c:v>824182</c:v>
                </c:pt>
                <c:pt idx="3">
                  <c:v>990588</c:v>
                </c:pt>
                <c:pt idx="4">
                  <c:v>1354164</c:v>
                </c:pt>
                <c:pt idx="5">
                  <c:v>1656721</c:v>
                </c:pt>
                <c:pt idx="6">
                  <c:v>1809837</c:v>
                </c:pt>
                <c:pt idx="7">
                  <c:v>1950305</c:v>
                </c:pt>
                <c:pt idx="8">
                  <c:v>2125672</c:v>
                </c:pt>
                <c:pt idx="9">
                  <c:v>2223647</c:v>
                </c:pt>
                <c:pt idx="10">
                  <c:v>2435739</c:v>
                </c:pt>
                <c:pt idx="11">
                  <c:v>2675727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29-49EE-BD00-C704148F2B6B}"/>
            </c:ext>
          </c:extLst>
        </c:ser>
        <c:ser>
          <c:idx val="5"/>
          <c:order val="5"/>
          <c:tx>
            <c:strRef>
              <c:f>Reas!$BF$2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Reas!$BF$3:$BF$14</c:f>
              <c:numCache>
                <c:formatCode>_-[$Rp-3809]* #,##0_-;\-[$Rp-3809]* #,##0_-;_-[$Rp-3809]* "-"??_-;_-@_-</c:formatCode>
                <c:ptCount val="12"/>
                <c:pt idx="0">
                  <c:v>1101069</c:v>
                </c:pt>
                <c:pt idx="1">
                  <c:v>1656439</c:v>
                </c:pt>
                <c:pt idx="2">
                  <c:v>2169931</c:v>
                </c:pt>
                <c:pt idx="3">
                  <c:v>4437999</c:v>
                </c:pt>
                <c:pt idx="4">
                  <c:v>4680758</c:v>
                </c:pt>
                <c:pt idx="5">
                  <c:v>4979728</c:v>
                </c:pt>
                <c:pt idx="6">
                  <c:v>5266191</c:v>
                </c:pt>
                <c:pt idx="7">
                  <c:v>5762213</c:v>
                </c:pt>
                <c:pt idx="8">
                  <c:v>6055903</c:v>
                </c:pt>
                <c:pt idx="9">
                  <c:v>6410287</c:v>
                </c:pt>
                <c:pt idx="10">
                  <c:v>6604771</c:v>
                </c:pt>
                <c:pt idx="11">
                  <c:v>6867779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29-49EE-BD00-C704148F2B6B}"/>
            </c:ext>
          </c:extLst>
        </c:ser>
        <c:ser>
          <c:idx val="6"/>
          <c:order val="6"/>
          <c:tx>
            <c:strRef>
              <c:f>Reas!$BG$2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Reas!$AZ$3:$AZ$14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Reas!$BG$3:$BG$14</c:f>
              <c:numCache>
                <c:formatCode>_-[$Rp-3809]* #,##0_-;\-[$Rp-3809]* #,##0_-;_-[$Rp-3809]* "-"??_-;_-@_-</c:formatCode>
                <c:ptCount val="12"/>
                <c:pt idx="0">
                  <c:v>69676</c:v>
                </c:pt>
                <c:pt idx="1">
                  <c:v>147923</c:v>
                </c:pt>
                <c:pt idx="2">
                  <c:v>212065</c:v>
                </c:pt>
                <c:pt idx="3">
                  <c:v>280318</c:v>
                </c:pt>
                <c:pt idx="4">
                  <c:v>350931</c:v>
                </c:pt>
                <c:pt idx="5">
                  <c:v>714343</c:v>
                </c:pt>
                <c:pt idx="6">
                  <c:v>741896</c:v>
                </c:pt>
                <c:pt idx="7">
                  <c:v>783126</c:v>
                </c:pt>
                <c:pt idx="8">
                  <c:v>849721</c:v>
                </c:pt>
                <c:pt idx="9">
                  <c:v>871820</c:v>
                </c:pt>
                <c:pt idx="10">
                  <c:v>969891</c:v>
                </c:pt>
                <c:pt idx="11">
                  <c:v>1014230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29-49EE-BD00-C704148F2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031632"/>
        <c:axId val="1487040272"/>
      </c:barChart>
      <c:catAx>
        <c:axId val="14870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040272"/>
        <c:crosses val="autoZero"/>
        <c:auto val="1"/>
        <c:lblAlgn val="ctr"/>
        <c:lblOffset val="100"/>
        <c:noMultiLvlLbl val="0"/>
      </c:catAx>
      <c:valAx>
        <c:axId val="14870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</a:t>
                </a:r>
                <a:r>
                  <a:rPr lang="en-US" baseline="0"/>
                  <a:t> jutaan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03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Hasil</a:t>
            </a:r>
            <a:r>
              <a:rPr lang="en-US" baseline="0"/>
              <a:t> Underwriting Reasuransi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2052216497233"/>
          <c:y val="0.1788368027250872"/>
          <c:w val="0.86066798701697422"/>
          <c:h val="0.666810847260624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Reas!$BL$2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7101355289139482E-3"/>
                  <c:y val="0.145548461130945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40-464F-8935-859C7785B153}"/>
                </c:ext>
              </c:extLst>
            </c:dLbl>
            <c:dLbl>
              <c:idx val="2"/>
              <c:layout>
                <c:manualLayout>
                  <c:x val="0"/>
                  <c:y val="0.140853349481559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40-464F-8935-859C7785B153}"/>
                </c:ext>
              </c:extLst>
            </c:dLbl>
            <c:dLbl>
              <c:idx val="3"/>
              <c:layout>
                <c:manualLayout>
                  <c:x val="-6.2704245028722093E-17"/>
                  <c:y val="0.131463126182789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40-464F-8935-859C7785B153}"/>
                </c:ext>
              </c:extLst>
            </c:dLbl>
            <c:dLbl>
              <c:idx val="4"/>
              <c:layout>
                <c:manualLayout>
                  <c:x val="1.7101355289139482E-3"/>
                  <c:y val="0.117378160928463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40-464F-8935-859C7785B153}"/>
                </c:ext>
              </c:extLst>
            </c:dLbl>
            <c:spPr>
              <a:solidFill>
                <a:schemeClr val="accent4">
                  <a:lumMod val="60000"/>
                  <a:lumOff val="40000"/>
                  <a:alpha val="64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Reas!$BL$3:$BL$14</c:f>
              <c:numCache>
                <c:formatCode>"Rp"#,##0</c:formatCode>
                <c:ptCount val="12"/>
                <c:pt idx="0">
                  <c:v>1594</c:v>
                </c:pt>
                <c:pt idx="1">
                  <c:v>-52424</c:v>
                </c:pt>
                <c:pt idx="2">
                  <c:v>-49406</c:v>
                </c:pt>
                <c:pt idx="3">
                  <c:v>-35728</c:v>
                </c:pt>
                <c:pt idx="4">
                  <c:v>-9355</c:v>
                </c:pt>
                <c:pt idx="5">
                  <c:v>10148</c:v>
                </c:pt>
                <c:pt idx="6">
                  <c:v>1332</c:v>
                </c:pt>
                <c:pt idx="7">
                  <c:v>8130</c:v>
                </c:pt>
                <c:pt idx="8">
                  <c:v>26514</c:v>
                </c:pt>
                <c:pt idx="9">
                  <c:v>38126</c:v>
                </c:pt>
                <c:pt idx="10">
                  <c:v>15667</c:v>
                </c:pt>
                <c:pt idx="11">
                  <c:v>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0-464F-8935-859C7785B153}"/>
            </c:ext>
          </c:extLst>
        </c:ser>
        <c:ser>
          <c:idx val="1"/>
          <c:order val="1"/>
          <c:tx>
            <c:strRef>
              <c:f>Reas!$BM$2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Reas!$BM$3:$BM$14</c:f>
              <c:numCache>
                <c:formatCode>"Rp"#,##0</c:formatCode>
                <c:ptCount val="12"/>
                <c:pt idx="0">
                  <c:v>2400</c:v>
                </c:pt>
                <c:pt idx="1">
                  <c:v>8825</c:v>
                </c:pt>
                <c:pt idx="2">
                  <c:v>19683</c:v>
                </c:pt>
                <c:pt idx="3">
                  <c:v>26342</c:v>
                </c:pt>
                <c:pt idx="4">
                  <c:v>28773</c:v>
                </c:pt>
                <c:pt idx="5">
                  <c:v>36214</c:v>
                </c:pt>
                <c:pt idx="6">
                  <c:v>58080</c:v>
                </c:pt>
                <c:pt idx="7">
                  <c:v>65168</c:v>
                </c:pt>
                <c:pt idx="8">
                  <c:v>76257</c:v>
                </c:pt>
                <c:pt idx="9">
                  <c:v>95167</c:v>
                </c:pt>
                <c:pt idx="10">
                  <c:v>107484</c:v>
                </c:pt>
                <c:pt idx="11">
                  <c:v>99587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0-464F-8935-859C7785B153}"/>
            </c:ext>
          </c:extLst>
        </c:ser>
        <c:ser>
          <c:idx val="2"/>
          <c:order val="2"/>
          <c:tx>
            <c:strRef>
              <c:f>Reas!$BN$2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Reas!$BN$3:$BN$14</c:f>
              <c:numCache>
                <c:formatCode>"Rp"#,##0</c:formatCode>
                <c:ptCount val="12"/>
                <c:pt idx="0">
                  <c:v>145873</c:v>
                </c:pt>
                <c:pt idx="1">
                  <c:v>214147</c:v>
                </c:pt>
                <c:pt idx="2">
                  <c:v>274549</c:v>
                </c:pt>
                <c:pt idx="3">
                  <c:v>326480</c:v>
                </c:pt>
                <c:pt idx="4">
                  <c:v>429879</c:v>
                </c:pt>
                <c:pt idx="5">
                  <c:v>487988</c:v>
                </c:pt>
                <c:pt idx="6">
                  <c:v>513436</c:v>
                </c:pt>
                <c:pt idx="7">
                  <c:v>542728</c:v>
                </c:pt>
                <c:pt idx="8">
                  <c:v>595432</c:v>
                </c:pt>
                <c:pt idx="9">
                  <c:v>511900</c:v>
                </c:pt>
                <c:pt idx="10">
                  <c:v>114045</c:v>
                </c:pt>
                <c:pt idx="11">
                  <c:v>427213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0-464F-8935-859C7785B153}"/>
            </c:ext>
          </c:extLst>
        </c:ser>
        <c:ser>
          <c:idx val="3"/>
          <c:order val="3"/>
          <c:tx>
            <c:strRef>
              <c:f>Reas!$BO$2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Reas!$BO$3:$BO$14</c:f>
              <c:numCache>
                <c:formatCode>"Rp"#,##0</c:formatCode>
                <c:ptCount val="12"/>
                <c:pt idx="0">
                  <c:v>34288</c:v>
                </c:pt>
                <c:pt idx="1">
                  <c:v>38905</c:v>
                </c:pt>
                <c:pt idx="2">
                  <c:v>10987</c:v>
                </c:pt>
                <c:pt idx="3">
                  <c:v>5688</c:v>
                </c:pt>
                <c:pt idx="4">
                  <c:v>27613</c:v>
                </c:pt>
                <c:pt idx="5">
                  <c:v>21503</c:v>
                </c:pt>
                <c:pt idx="6">
                  <c:v>26338</c:v>
                </c:pt>
                <c:pt idx="7">
                  <c:v>23360</c:v>
                </c:pt>
                <c:pt idx="8">
                  <c:v>16446</c:v>
                </c:pt>
                <c:pt idx="9">
                  <c:v>-2858</c:v>
                </c:pt>
                <c:pt idx="10">
                  <c:v>-102340</c:v>
                </c:pt>
                <c:pt idx="11">
                  <c:v>-54285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0-464F-8935-859C7785B153}"/>
            </c:ext>
          </c:extLst>
        </c:ser>
        <c:ser>
          <c:idx val="4"/>
          <c:order val="4"/>
          <c:tx>
            <c:strRef>
              <c:f>Reas!$BP$2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Reas!$BP$3:$BP$14</c:f>
              <c:numCache>
                <c:formatCode>"Rp"#,##0</c:formatCode>
                <c:ptCount val="12"/>
                <c:pt idx="0">
                  <c:v>70355</c:v>
                </c:pt>
                <c:pt idx="1">
                  <c:v>51243</c:v>
                </c:pt>
                <c:pt idx="2">
                  <c:v>44309</c:v>
                </c:pt>
                <c:pt idx="3">
                  <c:v>46520</c:v>
                </c:pt>
                <c:pt idx="4">
                  <c:v>30948</c:v>
                </c:pt>
                <c:pt idx="5">
                  <c:v>38833</c:v>
                </c:pt>
                <c:pt idx="6">
                  <c:v>47574</c:v>
                </c:pt>
                <c:pt idx="7">
                  <c:v>58506</c:v>
                </c:pt>
                <c:pt idx="8">
                  <c:v>62230</c:v>
                </c:pt>
                <c:pt idx="9">
                  <c:v>45099</c:v>
                </c:pt>
                <c:pt idx="10">
                  <c:v>75521</c:v>
                </c:pt>
                <c:pt idx="11">
                  <c:v>91482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0-464F-8935-859C7785B153}"/>
            </c:ext>
          </c:extLst>
        </c:ser>
        <c:ser>
          <c:idx val="5"/>
          <c:order val="5"/>
          <c:tx>
            <c:strRef>
              <c:f>Reas!$BQ$2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Reas!$BQ$3:$BQ$14</c:f>
              <c:numCache>
                <c:formatCode>"Rp"#,##0</c:formatCode>
                <c:ptCount val="12"/>
                <c:pt idx="0">
                  <c:v>15405</c:v>
                </c:pt>
                <c:pt idx="1">
                  <c:v>18169</c:v>
                </c:pt>
                <c:pt idx="2">
                  <c:v>16510</c:v>
                </c:pt>
                <c:pt idx="3">
                  <c:v>51790</c:v>
                </c:pt>
                <c:pt idx="4">
                  <c:v>86575</c:v>
                </c:pt>
                <c:pt idx="5">
                  <c:v>93618</c:v>
                </c:pt>
                <c:pt idx="6">
                  <c:v>118629</c:v>
                </c:pt>
                <c:pt idx="7">
                  <c:v>128383</c:v>
                </c:pt>
                <c:pt idx="8">
                  <c:v>133630</c:v>
                </c:pt>
                <c:pt idx="9">
                  <c:v>148506</c:v>
                </c:pt>
                <c:pt idx="10">
                  <c:v>162028</c:v>
                </c:pt>
                <c:pt idx="11">
                  <c:v>124206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40-464F-8935-859C7785B153}"/>
            </c:ext>
          </c:extLst>
        </c:ser>
        <c:ser>
          <c:idx val="6"/>
          <c:order val="6"/>
          <c:tx>
            <c:strRef>
              <c:f>Reas!$BR$2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Reas!$BK$3:$BK$14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Reas!$BR$3:$BR$14</c:f>
              <c:numCache>
                <c:formatCode>"Rp"#,##0</c:formatCode>
                <c:ptCount val="12"/>
                <c:pt idx="0">
                  <c:v>3758</c:v>
                </c:pt>
                <c:pt idx="1">
                  <c:v>8320</c:v>
                </c:pt>
                <c:pt idx="2">
                  <c:v>6300</c:v>
                </c:pt>
                <c:pt idx="3">
                  <c:v>13533</c:v>
                </c:pt>
                <c:pt idx="4">
                  <c:v>18740</c:v>
                </c:pt>
                <c:pt idx="5">
                  <c:v>49042</c:v>
                </c:pt>
                <c:pt idx="6">
                  <c:v>41521</c:v>
                </c:pt>
                <c:pt idx="7">
                  <c:v>39950</c:v>
                </c:pt>
                <c:pt idx="8">
                  <c:v>54934</c:v>
                </c:pt>
                <c:pt idx="9">
                  <c:v>51737</c:v>
                </c:pt>
                <c:pt idx="10">
                  <c:v>60310</c:v>
                </c:pt>
                <c:pt idx="11">
                  <c:v>60033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0-464F-8935-859C7785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233600"/>
        <c:axId val="1348238400"/>
      </c:barChart>
      <c:catAx>
        <c:axId val="134823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38400"/>
        <c:crosses val="autoZero"/>
        <c:auto val="1"/>
        <c:lblAlgn val="ctr"/>
        <c:lblOffset val="100"/>
        <c:noMultiLvlLbl val="0"/>
      </c:catAx>
      <c:valAx>
        <c:axId val="13482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jutaan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Aset Reasuransi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Reas!$BV$2</c:f>
              <c:strCache>
                <c:ptCount val="1"/>
                <c:pt idx="0">
                  <c:v>INDONESIA 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alpha val="4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Reas!$BV$3:$BV$14</c:f>
              <c:numCache>
                <c:formatCode>_-"Rp"* #,##0_-;\-"Rp"* #,##0_-;_-"Rp"* "-"??_-;_-@_-</c:formatCode>
                <c:ptCount val="12"/>
                <c:pt idx="0">
                  <c:v>13572403</c:v>
                </c:pt>
                <c:pt idx="1">
                  <c:v>13588443</c:v>
                </c:pt>
                <c:pt idx="2">
                  <c:v>13334571</c:v>
                </c:pt>
                <c:pt idx="3">
                  <c:v>13335924</c:v>
                </c:pt>
                <c:pt idx="4">
                  <c:v>13331144</c:v>
                </c:pt>
                <c:pt idx="5">
                  <c:v>13130253</c:v>
                </c:pt>
                <c:pt idx="6">
                  <c:v>13166048</c:v>
                </c:pt>
                <c:pt idx="7">
                  <c:v>13132306</c:v>
                </c:pt>
                <c:pt idx="8">
                  <c:v>13046016</c:v>
                </c:pt>
                <c:pt idx="9">
                  <c:v>13129470</c:v>
                </c:pt>
                <c:pt idx="10">
                  <c:v>13023476</c:v>
                </c:pt>
                <c:pt idx="11">
                  <c:v>13055980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C-4EC6-B53B-124C496DF38B}"/>
            </c:ext>
          </c:extLst>
        </c:ser>
        <c:ser>
          <c:idx val="1"/>
          <c:order val="1"/>
          <c:tx>
            <c:strRef>
              <c:f>Reas!$BW$2</c:f>
              <c:strCache>
                <c:ptCount val="1"/>
                <c:pt idx="0">
                  <c:v>MAIPARK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Reas!$BW$3:$BW$14</c:f>
              <c:numCache>
                <c:formatCode>_-"Rp"* #,##0_-;\-"Rp"* #,##0_-;_-"Rp"* "-"??_-;_-@_-</c:formatCode>
                <c:ptCount val="12"/>
                <c:pt idx="0">
                  <c:v>1033972</c:v>
                </c:pt>
                <c:pt idx="1">
                  <c:v>1051638</c:v>
                </c:pt>
                <c:pt idx="2">
                  <c:v>1051647</c:v>
                </c:pt>
                <c:pt idx="3">
                  <c:v>1081659</c:v>
                </c:pt>
                <c:pt idx="4">
                  <c:v>1093712</c:v>
                </c:pt>
                <c:pt idx="5">
                  <c:v>1129389</c:v>
                </c:pt>
                <c:pt idx="6">
                  <c:v>1112379</c:v>
                </c:pt>
                <c:pt idx="7">
                  <c:v>1146075</c:v>
                </c:pt>
                <c:pt idx="8">
                  <c:v>1164102</c:v>
                </c:pt>
                <c:pt idx="9">
                  <c:v>1189557</c:v>
                </c:pt>
                <c:pt idx="10">
                  <c:v>1196933</c:v>
                </c:pt>
                <c:pt idx="11">
                  <c:v>1187733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C-4EC6-B53B-124C496DF38B}"/>
            </c:ext>
          </c:extLst>
        </c:ser>
        <c:ser>
          <c:idx val="2"/>
          <c:order val="2"/>
          <c:tx>
            <c:strRef>
              <c:f>Reas!$BX$2</c:f>
              <c:strCache>
                <c:ptCount val="1"/>
                <c:pt idx="0">
                  <c:v>NASRE</c:v>
                </c:pt>
              </c:strCache>
            </c:strRef>
          </c:tx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Reas!$BX$3:$BX$14</c:f>
              <c:numCache>
                <c:formatCode>_-"Rp"* #,##0_-;\-"Rp"* #,##0_-;_-"Rp"* "-"??_-;_-@_-</c:formatCode>
                <c:ptCount val="12"/>
                <c:pt idx="0">
                  <c:v>8259199</c:v>
                </c:pt>
                <c:pt idx="1">
                  <c:v>8302032</c:v>
                </c:pt>
                <c:pt idx="2">
                  <c:v>7957213</c:v>
                </c:pt>
                <c:pt idx="3">
                  <c:v>7686755</c:v>
                </c:pt>
                <c:pt idx="4">
                  <c:v>7083662</c:v>
                </c:pt>
                <c:pt idx="5">
                  <c:v>6895729</c:v>
                </c:pt>
                <c:pt idx="6">
                  <c:v>6832581</c:v>
                </c:pt>
                <c:pt idx="7">
                  <c:v>6639337</c:v>
                </c:pt>
                <c:pt idx="8">
                  <c:v>6564254</c:v>
                </c:pt>
                <c:pt idx="9">
                  <c:v>6583622</c:v>
                </c:pt>
                <c:pt idx="10">
                  <c:v>6183130</c:v>
                </c:pt>
                <c:pt idx="11">
                  <c:v>6377926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C-4EC6-B53B-124C496DF38B}"/>
            </c:ext>
          </c:extLst>
        </c:ser>
        <c:ser>
          <c:idx val="3"/>
          <c:order val="3"/>
          <c:tx>
            <c:strRef>
              <c:f>Reas!$BY$2</c:f>
              <c:strCache>
                <c:ptCount val="1"/>
                <c:pt idx="0">
                  <c:v>MAREIN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Reas!$BY$3:$BY$14</c:f>
              <c:numCache>
                <c:formatCode>_-"Rp"* #,##0_-;\-"Rp"* #,##0_-;_-"Rp"* "-"??_-;_-@_-</c:formatCode>
                <c:ptCount val="12"/>
                <c:pt idx="0">
                  <c:v>5033338</c:v>
                </c:pt>
                <c:pt idx="1">
                  <c:v>5165855</c:v>
                </c:pt>
                <c:pt idx="2">
                  <c:v>5219627</c:v>
                </c:pt>
                <c:pt idx="3">
                  <c:v>5159121</c:v>
                </c:pt>
                <c:pt idx="4">
                  <c:v>5127248</c:v>
                </c:pt>
                <c:pt idx="5">
                  <c:v>5202580</c:v>
                </c:pt>
                <c:pt idx="6">
                  <c:v>5226112</c:v>
                </c:pt>
                <c:pt idx="7">
                  <c:v>5323682</c:v>
                </c:pt>
                <c:pt idx="8">
                  <c:v>5445113</c:v>
                </c:pt>
                <c:pt idx="9">
                  <c:v>5570916</c:v>
                </c:pt>
                <c:pt idx="10">
                  <c:v>5543036</c:v>
                </c:pt>
                <c:pt idx="11">
                  <c:v>5600680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4C-4EC6-B53B-124C496DF38B}"/>
            </c:ext>
          </c:extLst>
        </c:ser>
        <c:ser>
          <c:idx val="4"/>
          <c:order val="4"/>
          <c:tx>
            <c:strRef>
              <c:f>Reas!$BZ$2</c:f>
              <c:strCache>
                <c:ptCount val="1"/>
                <c:pt idx="0">
                  <c:v>TUGURE</c:v>
                </c:pt>
              </c:strCache>
            </c:strRef>
          </c:tx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Reas!$BZ$3:$BZ$14</c:f>
              <c:numCache>
                <c:formatCode>_-"Rp"* #,##0_-;\-"Rp"* #,##0_-;_-"Rp"* "-"??_-;_-@_-</c:formatCode>
                <c:ptCount val="12"/>
                <c:pt idx="0">
                  <c:v>6272720</c:v>
                </c:pt>
                <c:pt idx="1">
                  <c:v>6233954</c:v>
                </c:pt>
                <c:pt idx="2">
                  <c:v>6250925</c:v>
                </c:pt>
                <c:pt idx="3">
                  <c:v>6260887</c:v>
                </c:pt>
                <c:pt idx="4">
                  <c:v>6653103</c:v>
                </c:pt>
                <c:pt idx="5">
                  <c:v>6832536</c:v>
                </c:pt>
                <c:pt idx="6">
                  <c:v>6900032</c:v>
                </c:pt>
                <c:pt idx="7">
                  <c:v>6973954</c:v>
                </c:pt>
                <c:pt idx="8">
                  <c:v>6938801</c:v>
                </c:pt>
                <c:pt idx="9">
                  <c:v>6880409</c:v>
                </c:pt>
                <c:pt idx="10">
                  <c:v>6854988</c:v>
                </c:pt>
                <c:pt idx="11">
                  <c:v>6884457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C-4EC6-B53B-124C496DF38B}"/>
            </c:ext>
          </c:extLst>
        </c:ser>
        <c:ser>
          <c:idx val="5"/>
          <c:order val="5"/>
          <c:tx>
            <c:strRef>
              <c:f>Reas!$CA$2</c:f>
              <c:strCache>
                <c:ptCount val="1"/>
                <c:pt idx="0">
                  <c:v>NUSRE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Reas!$CA$3:$CA$14</c:f>
              <c:numCache>
                <c:formatCode>_-"Rp"* #,##0_-;\-"Rp"* #,##0_-;_-"Rp"* "-"??_-;_-@_-</c:formatCode>
                <c:ptCount val="12"/>
                <c:pt idx="0">
                  <c:v>4372746</c:v>
                </c:pt>
                <c:pt idx="1">
                  <c:v>4512610</c:v>
                </c:pt>
                <c:pt idx="2">
                  <c:v>4407860</c:v>
                </c:pt>
                <c:pt idx="3">
                  <c:v>4712134</c:v>
                </c:pt>
                <c:pt idx="4">
                  <c:v>4524972</c:v>
                </c:pt>
                <c:pt idx="5">
                  <c:v>3775010</c:v>
                </c:pt>
                <c:pt idx="6">
                  <c:v>3831028</c:v>
                </c:pt>
                <c:pt idx="7">
                  <c:v>4288359</c:v>
                </c:pt>
                <c:pt idx="8">
                  <c:v>3962296</c:v>
                </c:pt>
                <c:pt idx="9">
                  <c:v>3982942</c:v>
                </c:pt>
                <c:pt idx="10">
                  <c:v>4076647</c:v>
                </c:pt>
                <c:pt idx="11">
                  <c:v>3650654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4C-4EC6-B53B-124C496DF38B}"/>
            </c:ext>
          </c:extLst>
        </c:ser>
        <c:ser>
          <c:idx val="6"/>
          <c:order val="6"/>
          <c:tx>
            <c:strRef>
              <c:f>Reas!$CB$2</c:f>
              <c:strCache>
                <c:ptCount val="1"/>
                <c:pt idx="0">
                  <c:v>INARE</c:v>
                </c:pt>
              </c:strCache>
            </c:strRef>
          </c:tx>
          <c:spPr>
            <a:solidFill>
              <a:schemeClr val="accent3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Reas!$BU$3:$BU$14</c:f>
              <c:strCache>
                <c:ptCount val="12"/>
                <c:pt idx="0">
                  <c:v> Januari </c:v>
                </c:pt>
                <c:pt idx="1">
                  <c:v> Februari </c:v>
                </c:pt>
                <c:pt idx="2">
                  <c:v> Maret </c:v>
                </c:pt>
                <c:pt idx="3">
                  <c:v> April </c:v>
                </c:pt>
                <c:pt idx="4">
                  <c:v> Mei </c:v>
                </c:pt>
                <c:pt idx="5">
                  <c:v> Juni </c:v>
                </c:pt>
                <c:pt idx="6">
                  <c:v> Juli </c:v>
                </c:pt>
                <c:pt idx="7">
                  <c:v> Agustus </c:v>
                </c:pt>
                <c:pt idx="8">
                  <c:v> September </c:v>
                </c:pt>
                <c:pt idx="9">
                  <c:v> Oktober </c:v>
                </c:pt>
                <c:pt idx="10">
                  <c:v> November </c:v>
                </c:pt>
                <c:pt idx="11">
                  <c:v> Desember </c:v>
                </c:pt>
              </c:strCache>
            </c:strRef>
          </c:cat>
          <c:val>
            <c:numRef>
              <c:f>Reas!$CB$3:$CB$14</c:f>
              <c:numCache>
                <c:formatCode>_-"Rp"* #,##0_-;\-"Rp"* #,##0_-;_-"Rp"* "-"??_-;_-@_-</c:formatCode>
                <c:ptCount val="12"/>
                <c:pt idx="0">
                  <c:v>877531</c:v>
                </c:pt>
                <c:pt idx="1">
                  <c:v>952194</c:v>
                </c:pt>
                <c:pt idx="2">
                  <c:v>1006414</c:v>
                </c:pt>
                <c:pt idx="3">
                  <c:v>1065820</c:v>
                </c:pt>
                <c:pt idx="4">
                  <c:v>1129086</c:v>
                </c:pt>
                <c:pt idx="5">
                  <c:v>1964903</c:v>
                </c:pt>
                <c:pt idx="6">
                  <c:v>1778319</c:v>
                </c:pt>
                <c:pt idx="7">
                  <c:v>1672848</c:v>
                </c:pt>
                <c:pt idx="8">
                  <c:v>1603631</c:v>
                </c:pt>
                <c:pt idx="9">
                  <c:v>1884291</c:v>
                </c:pt>
                <c:pt idx="10">
                  <c:v>2003971</c:v>
                </c:pt>
                <c:pt idx="11">
                  <c:v>2030304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C-4EC6-B53B-124C496DF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132063"/>
        <c:axId val="1589125823"/>
      </c:barChart>
      <c:catAx>
        <c:axId val="15891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25823"/>
        <c:crosses val="autoZero"/>
        <c:auto val="1"/>
        <c:lblAlgn val="ctr"/>
        <c:lblOffset val="100"/>
        <c:noMultiLvlLbl val="0"/>
      </c:catAx>
      <c:valAx>
        <c:axId val="15891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jutaan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3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44302563926566"/>
          <c:y val="0.17052583411559294"/>
          <c:w val="0.78001920578630601"/>
          <c:h val="0.35102561382791209"/>
        </c:manualLayout>
      </c:layout>
      <c:lineChart>
        <c:grouping val="standard"/>
        <c:varyColors val="0"/>
        <c:ser>
          <c:idx val="0"/>
          <c:order val="0"/>
          <c:tx>
            <c:strRef>
              <c:f>Reas!$BA$34</c:f>
              <c:strCache>
                <c:ptCount val="1"/>
                <c:pt idx="0">
                  <c:v>Premi Tidak Langsung Indonesia Re</c:v>
                </c:pt>
              </c:strCache>
            </c:strRef>
          </c:tx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5000"/>
                </a:schemeClr>
              </a:solidFill>
              <a:ln w="9525">
                <a:solidFill>
                  <a:schemeClr val="accent1">
                    <a:shade val="45000"/>
                  </a:schemeClr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Reas!$BA$35:$BA$46</c:f>
              <c:numCache>
                <c:formatCode>"Rp"#,##0</c:formatCode>
                <c:ptCount val="12"/>
                <c:pt idx="0">
                  <c:v>451716</c:v>
                </c:pt>
                <c:pt idx="1">
                  <c:v>1033818</c:v>
                </c:pt>
                <c:pt idx="2">
                  <c:v>1498329</c:v>
                </c:pt>
                <c:pt idx="3">
                  <c:v>1873951</c:v>
                </c:pt>
                <c:pt idx="4">
                  <c:v>2456883</c:v>
                </c:pt>
                <c:pt idx="5">
                  <c:v>2978031</c:v>
                </c:pt>
                <c:pt idx="6">
                  <c:v>3458988</c:v>
                </c:pt>
                <c:pt idx="7">
                  <c:v>3755632</c:v>
                </c:pt>
                <c:pt idx="8">
                  <c:v>4141468</c:v>
                </c:pt>
                <c:pt idx="9">
                  <c:v>4565592</c:v>
                </c:pt>
                <c:pt idx="10">
                  <c:v>5081860</c:v>
                </c:pt>
                <c:pt idx="11">
                  <c:v>5655179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F-4B59-A902-FED971F3BE0F}"/>
            </c:ext>
          </c:extLst>
        </c:ser>
        <c:ser>
          <c:idx val="1"/>
          <c:order val="1"/>
          <c:tx>
            <c:strRef>
              <c:f>Reas!$BB$34</c:f>
              <c:strCache>
                <c:ptCount val="1"/>
                <c:pt idx="0">
                  <c:v>Premi Bruto Indonesia Re</c:v>
                </c:pt>
              </c:strCache>
            </c:strRef>
          </c:tx>
          <c:spPr>
            <a:ln w="28575" cap="rnd">
              <a:solidFill>
                <a:schemeClr val="accent1">
                  <a:shade val="6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1000"/>
                </a:schemeClr>
              </a:solidFill>
              <a:ln w="9525">
                <a:solidFill>
                  <a:schemeClr val="accent1">
                    <a:shade val="61000"/>
                  </a:schemeClr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Reas!$BB$35:$BB$46</c:f>
              <c:numCache>
                <c:formatCode>"Rp"#,##0</c:formatCode>
                <c:ptCount val="12"/>
                <c:pt idx="0">
                  <c:v>389558</c:v>
                </c:pt>
                <c:pt idx="1">
                  <c:v>868545</c:v>
                </c:pt>
                <c:pt idx="2">
                  <c:v>1251828</c:v>
                </c:pt>
                <c:pt idx="3">
                  <c:v>1573235</c:v>
                </c:pt>
                <c:pt idx="4">
                  <c:v>2054360</c:v>
                </c:pt>
                <c:pt idx="5">
                  <c:v>2480095</c:v>
                </c:pt>
                <c:pt idx="6">
                  <c:v>2877426</c:v>
                </c:pt>
                <c:pt idx="7">
                  <c:v>3114517</c:v>
                </c:pt>
                <c:pt idx="8">
                  <c:v>3341385</c:v>
                </c:pt>
                <c:pt idx="9">
                  <c:v>3689724</c:v>
                </c:pt>
                <c:pt idx="10">
                  <c:v>4105823</c:v>
                </c:pt>
                <c:pt idx="11">
                  <c:v>4571002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F-4B59-A902-FED971F3BE0F}"/>
            </c:ext>
          </c:extLst>
        </c:ser>
        <c:ser>
          <c:idx val="2"/>
          <c:order val="2"/>
          <c:tx>
            <c:strRef>
              <c:f>Reas!$BC$34</c:f>
              <c:strCache>
                <c:ptCount val="1"/>
                <c:pt idx="0">
                  <c:v>Laba Bersih Indonesia Re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Reas!$BC$35:$BC$46</c:f>
              <c:numCache>
                <c:formatCode>"Rp"#,##0</c:formatCode>
                <c:ptCount val="12"/>
                <c:pt idx="0">
                  <c:v>15045</c:v>
                </c:pt>
                <c:pt idx="1">
                  <c:v>-37553</c:v>
                </c:pt>
                <c:pt idx="2">
                  <c:v>-32899</c:v>
                </c:pt>
                <c:pt idx="3">
                  <c:v>-5516</c:v>
                </c:pt>
                <c:pt idx="4">
                  <c:v>-17062</c:v>
                </c:pt>
                <c:pt idx="5">
                  <c:v>-14148</c:v>
                </c:pt>
                <c:pt idx="6">
                  <c:v>-1067</c:v>
                </c:pt>
                <c:pt idx="7">
                  <c:v>1254</c:v>
                </c:pt>
                <c:pt idx="8">
                  <c:v>37951</c:v>
                </c:pt>
                <c:pt idx="9">
                  <c:v>41554</c:v>
                </c:pt>
                <c:pt idx="10">
                  <c:v>25412</c:v>
                </c:pt>
                <c:pt idx="11">
                  <c:v>52892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5F-4B59-A902-FED971F3BE0F}"/>
            </c:ext>
          </c:extLst>
        </c:ser>
        <c:ser>
          <c:idx val="3"/>
          <c:order val="3"/>
          <c:tx>
            <c:strRef>
              <c:f>Reas!$BD$34</c:f>
              <c:strCache>
                <c:ptCount val="1"/>
                <c:pt idx="0">
                  <c:v>Hasil Underwriting Indonesia Re</c:v>
                </c:pt>
              </c:strCache>
            </c:strRef>
          </c:tx>
          <c:spPr>
            <a:ln w="28575" cap="rnd">
              <a:solidFill>
                <a:schemeClr val="accent1">
                  <a:shade val="9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92000"/>
                </a:schemeClr>
              </a:solidFill>
              <a:ln w="9525">
                <a:solidFill>
                  <a:schemeClr val="accent1">
                    <a:shade val="92000"/>
                  </a:schemeClr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Reas!$BD$35:$BD$46</c:f>
              <c:numCache>
                <c:formatCode>"Rp"#,##0</c:formatCode>
                <c:ptCount val="12"/>
                <c:pt idx="0">
                  <c:v>1594</c:v>
                </c:pt>
                <c:pt idx="1">
                  <c:v>-52424</c:v>
                </c:pt>
                <c:pt idx="2">
                  <c:v>-49406</c:v>
                </c:pt>
                <c:pt idx="3">
                  <c:v>-35728</c:v>
                </c:pt>
                <c:pt idx="4">
                  <c:v>-9355</c:v>
                </c:pt>
                <c:pt idx="5">
                  <c:v>10148</c:v>
                </c:pt>
                <c:pt idx="6">
                  <c:v>1332</c:v>
                </c:pt>
                <c:pt idx="7">
                  <c:v>8130</c:v>
                </c:pt>
                <c:pt idx="8">
                  <c:v>26514</c:v>
                </c:pt>
                <c:pt idx="9">
                  <c:v>38126</c:v>
                </c:pt>
                <c:pt idx="10">
                  <c:v>15667</c:v>
                </c:pt>
                <c:pt idx="11">
                  <c:v>5320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5F-4B59-A902-FED971F3BE0F}"/>
            </c:ext>
          </c:extLst>
        </c:ser>
        <c:ser>
          <c:idx val="4"/>
          <c:order val="4"/>
          <c:tx>
            <c:strRef>
              <c:f>Reas!$BE$34</c:f>
              <c:strCache>
                <c:ptCount val="1"/>
                <c:pt idx="0">
                  <c:v>Premi Tidak Langsung Industri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Reas!$BE$35:$BE$46</c:f>
              <c:numCache>
                <c:formatCode>"Rp"#,##0</c:formatCode>
                <c:ptCount val="12"/>
                <c:pt idx="0">
                  <c:v>2645315</c:v>
                </c:pt>
                <c:pt idx="1">
                  <c:v>5089497</c:v>
                </c:pt>
                <c:pt idx="2">
                  <c:v>7141212</c:v>
                </c:pt>
                <c:pt idx="3">
                  <c:v>10439581</c:v>
                </c:pt>
                <c:pt idx="4">
                  <c:v>12114031</c:v>
                </c:pt>
                <c:pt idx="5">
                  <c:v>14427434</c:v>
                </c:pt>
                <c:pt idx="6">
                  <c:v>16219414</c:v>
                </c:pt>
                <c:pt idx="7">
                  <c:v>18161699</c:v>
                </c:pt>
                <c:pt idx="8">
                  <c:v>19880478</c:v>
                </c:pt>
                <c:pt idx="9">
                  <c:v>21873282</c:v>
                </c:pt>
                <c:pt idx="10">
                  <c:v>23118281</c:v>
                </c:pt>
                <c:pt idx="11">
                  <c:v>25249664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5F-4B59-A902-FED971F3BE0F}"/>
            </c:ext>
          </c:extLst>
        </c:ser>
        <c:ser>
          <c:idx val="5"/>
          <c:order val="5"/>
          <c:tx>
            <c:strRef>
              <c:f>Reas!$BF$34</c:f>
              <c:strCache>
                <c:ptCount val="1"/>
                <c:pt idx="0">
                  <c:v>Premi Bruto 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Reas!$BF$35:$BF$46</c:f>
              <c:numCache>
                <c:formatCode>_-[$Rp-3809]* #,##0_-;\-[$Rp-3809]* #,##0_-;_-[$Rp-3809]* "-"??_-;_-@_-</c:formatCode>
                <c:ptCount val="12"/>
                <c:pt idx="0">
                  <c:v>3503228</c:v>
                </c:pt>
                <c:pt idx="1">
                  <c:v>6901883</c:v>
                </c:pt>
                <c:pt idx="2">
                  <c:v>9809064</c:v>
                </c:pt>
                <c:pt idx="3">
                  <c:v>13845523</c:v>
                </c:pt>
                <c:pt idx="4">
                  <c:v>16598857</c:v>
                </c:pt>
                <c:pt idx="5">
                  <c:v>19881560</c:v>
                </c:pt>
                <c:pt idx="6">
                  <c:v>22556093</c:v>
                </c:pt>
                <c:pt idx="7">
                  <c:v>25041232</c:v>
                </c:pt>
                <c:pt idx="8">
                  <c:v>27427796</c:v>
                </c:pt>
                <c:pt idx="9">
                  <c:v>30208278</c:v>
                </c:pt>
                <c:pt idx="10">
                  <c:v>32347043</c:v>
                </c:pt>
                <c:pt idx="11">
                  <c:v>35534057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5F-4B59-A902-FED971F3BE0F}"/>
            </c:ext>
          </c:extLst>
        </c:ser>
        <c:ser>
          <c:idx val="6"/>
          <c:order val="6"/>
          <c:tx>
            <c:strRef>
              <c:f>Reas!$BG$34</c:f>
              <c:strCache>
                <c:ptCount val="1"/>
                <c:pt idx="0">
                  <c:v>Laba Bersih Industri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Reas!$BG$35:$BG$46</c:f>
              <c:numCache>
                <c:formatCode>"Rp"#,##0</c:formatCode>
                <c:ptCount val="12"/>
                <c:pt idx="0">
                  <c:v>275304</c:v>
                </c:pt>
                <c:pt idx="1">
                  <c:v>267620</c:v>
                </c:pt>
                <c:pt idx="2">
                  <c:v>282185</c:v>
                </c:pt>
                <c:pt idx="3">
                  <c:v>427649</c:v>
                </c:pt>
                <c:pt idx="4">
                  <c:v>544839</c:v>
                </c:pt>
                <c:pt idx="5">
                  <c:v>649846</c:v>
                </c:pt>
                <c:pt idx="6">
                  <c:v>898476</c:v>
                </c:pt>
                <c:pt idx="7">
                  <c:v>965263</c:v>
                </c:pt>
                <c:pt idx="8">
                  <c:v>1116866</c:v>
                </c:pt>
                <c:pt idx="9">
                  <c:v>1024987</c:v>
                </c:pt>
                <c:pt idx="10">
                  <c:v>584783</c:v>
                </c:pt>
                <c:pt idx="11">
                  <c:v>896430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5F-4B59-A902-FED971F3BE0F}"/>
            </c:ext>
          </c:extLst>
        </c:ser>
        <c:ser>
          <c:idx val="7"/>
          <c:order val="7"/>
          <c:tx>
            <c:strRef>
              <c:f>Reas!$BH$34</c:f>
              <c:strCache>
                <c:ptCount val="1"/>
                <c:pt idx="0">
                  <c:v>Hasil Underwriting Industri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Reas!$AZ$35:$AZ$46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Reas!$BH$35:$BH$46</c:f>
              <c:numCache>
                <c:formatCode>"Rp"#,##0</c:formatCode>
                <c:ptCount val="12"/>
                <c:pt idx="0">
                  <c:v>273673</c:v>
                </c:pt>
                <c:pt idx="1">
                  <c:v>287185</c:v>
                </c:pt>
                <c:pt idx="2">
                  <c:v>322932</c:v>
                </c:pt>
                <c:pt idx="3">
                  <c:v>434625</c:v>
                </c:pt>
                <c:pt idx="4">
                  <c:v>613173</c:v>
                </c:pt>
                <c:pt idx="5">
                  <c:v>737346</c:v>
                </c:pt>
                <c:pt idx="6">
                  <c:v>806910</c:v>
                </c:pt>
                <c:pt idx="7">
                  <c:v>866225</c:v>
                </c:pt>
                <c:pt idx="8">
                  <c:v>965443</c:v>
                </c:pt>
                <c:pt idx="9">
                  <c:v>887677</c:v>
                </c:pt>
                <c:pt idx="10">
                  <c:v>432715</c:v>
                </c:pt>
                <c:pt idx="11">
                  <c:v>753556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5F-4B59-A902-FED971F3B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244752"/>
        <c:axId val="1516245712"/>
      </c:lineChart>
      <c:catAx>
        <c:axId val="151624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45712"/>
        <c:crosses val="autoZero"/>
        <c:auto val="1"/>
        <c:lblAlgn val="ctr"/>
        <c:lblOffset val="100"/>
        <c:noMultiLvlLbl val="0"/>
      </c:catAx>
      <c:valAx>
        <c:axId val="15162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24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Ekuitas</a:t>
            </a:r>
            <a:r>
              <a:rPr lang="en-US" baseline="0"/>
              <a:t> Asuransi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6.2142525636788884E-17"/>
                  <c:y val="-3.1835142304665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09-4086-BB61-D3F73499DE29}"/>
                </c:ext>
              </c:extLst>
            </c:dLbl>
            <c:dLbl>
              <c:idx val="7"/>
              <c:layout>
                <c:manualLayout>
                  <c:x val="3.3896314643206684E-3"/>
                  <c:y val="-3.085130158483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09-4086-BB61-D3F73499DE29}"/>
                </c:ext>
              </c:extLst>
            </c:dLbl>
            <c:spPr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RU!$A$2:$A$11</c:f>
              <c:strCache>
                <c:ptCount val="10"/>
                <c:pt idx="0">
                  <c:v>Asuransi Astra Buana</c:v>
                </c:pt>
                <c:pt idx="1">
                  <c:v>Asuransi Central Asia</c:v>
                </c:pt>
                <c:pt idx="2">
                  <c:v>Asuransi Sinar Mas</c:v>
                </c:pt>
                <c:pt idx="3">
                  <c:v>Asuransi Tugu Pratama Indonesia</c:v>
                </c:pt>
                <c:pt idx="4">
                  <c:v>Asuransi Kredit Indonesia</c:v>
                </c:pt>
                <c:pt idx="5">
                  <c:v>Asuransi Jasa Indonesia</c:v>
                </c:pt>
                <c:pt idx="6">
                  <c:v>BRI Asuransi Indonesia</c:v>
                </c:pt>
                <c:pt idx="7">
                  <c:v>Zurich Asuransi Indonesia</c:v>
                </c:pt>
                <c:pt idx="8">
                  <c:v>Asuransi Multi Artha Guna</c:v>
                </c:pt>
                <c:pt idx="9">
                  <c:v>Asuransi Wahana Tata</c:v>
                </c:pt>
              </c:strCache>
            </c:strRef>
          </c:cat>
          <c:val>
            <c:numRef>
              <c:f>RU!$B$2:$B$11</c:f>
              <c:numCache>
                <c:formatCode>_-[$Rp-421]* #,##0_-;\-[$Rp-421]* #,##0_-;_-[$Rp-421]* "-"??_-;_-@_-</c:formatCode>
                <c:ptCount val="10"/>
                <c:pt idx="0">
                  <c:v>9074730</c:v>
                </c:pt>
                <c:pt idx="1">
                  <c:v>8337047</c:v>
                </c:pt>
                <c:pt idx="2">
                  <c:v>6471103</c:v>
                </c:pt>
                <c:pt idx="3">
                  <c:v>6193550</c:v>
                </c:pt>
                <c:pt idx="4">
                  <c:v>4622870</c:v>
                </c:pt>
                <c:pt idx="5">
                  <c:v>3147856</c:v>
                </c:pt>
                <c:pt idx="6">
                  <c:v>2891887</c:v>
                </c:pt>
                <c:pt idx="7">
                  <c:v>2125980</c:v>
                </c:pt>
                <c:pt idx="8">
                  <c:v>2001057</c:v>
                </c:pt>
                <c:pt idx="9" formatCode="&quot;Rp&quot;#,##0;[Red]\-&quot;Rp&quot;#,##0">
                  <c:v>1769439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9-4086-BB61-D3F73499DE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6216367"/>
        <c:axId val="1846217327"/>
      </c:barChart>
      <c:catAx>
        <c:axId val="184621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17327"/>
        <c:crosses val="autoZero"/>
        <c:auto val="1"/>
        <c:lblAlgn val="ctr"/>
        <c:lblOffset val="100"/>
        <c:noMultiLvlLbl val="0"/>
      </c:catAx>
      <c:valAx>
        <c:axId val="18462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1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</a:t>
            </a:r>
            <a:r>
              <a:rPr lang="en-US" baseline="0"/>
              <a:t> Rasio Solvabilitas Asuransi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RU!$F$2:$F$11</c:f>
              <c:strCache>
                <c:ptCount val="10"/>
                <c:pt idx="0">
                  <c:v>PT Victoria Insurance Tbk.</c:v>
                </c:pt>
                <c:pt idx="1">
                  <c:v>PT Asuransi Digital Bersama Tbk.</c:v>
                </c:pt>
                <c:pt idx="2">
                  <c:v>PT Asuransi Bina Dana Arta Tbk.</c:v>
                </c:pt>
                <c:pt idx="3">
                  <c:v>PT Asuransi Sumit Oto</c:v>
                </c:pt>
                <c:pt idx="4">
                  <c:v>PT Asuransi Allianz Utama Indonesia</c:v>
                </c:pt>
                <c:pt idx="5">
                  <c:v>PT Asuransi Samsung Tugu</c:v>
                </c:pt>
                <c:pt idx="6">
                  <c:v>PT AIG Insurance Indonesia</c:v>
                </c:pt>
                <c:pt idx="7">
                  <c:v>PT Meritz Korindo Insurance</c:v>
                </c:pt>
                <c:pt idx="8">
                  <c:v>PT Asuransi Tokio Marine Indonesia</c:v>
                </c:pt>
                <c:pt idx="9">
                  <c:v>PT Asuransi Umum BCA</c:v>
                </c:pt>
              </c:strCache>
            </c:strRef>
          </c:cat>
          <c:val>
            <c:numRef>
              <c:f>RU!$G$2:$G$11</c:f>
              <c:numCache>
                <c:formatCode>0%</c:formatCode>
                <c:ptCount val="10"/>
                <c:pt idx="0">
                  <c:v>15.51</c:v>
                </c:pt>
                <c:pt idx="1">
                  <c:v>9.58</c:v>
                </c:pt>
                <c:pt idx="2">
                  <c:v>7.9565999999999999</c:v>
                </c:pt>
                <c:pt idx="3">
                  <c:v>7.62</c:v>
                </c:pt>
                <c:pt idx="4">
                  <c:v>7.423</c:v>
                </c:pt>
                <c:pt idx="5">
                  <c:v>6.97</c:v>
                </c:pt>
                <c:pt idx="6">
                  <c:v>6.44</c:v>
                </c:pt>
                <c:pt idx="7">
                  <c:v>6.0837000000000003</c:v>
                </c:pt>
                <c:pt idx="8">
                  <c:v>5.2043999999999997</c:v>
                </c:pt>
                <c:pt idx="9">
                  <c:v>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3-4E20-939C-CBF75DCBD4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6243727"/>
        <c:axId val="1846243247"/>
      </c:barChart>
      <c:catAx>
        <c:axId val="184624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43247"/>
        <c:crosses val="autoZero"/>
        <c:auto val="1"/>
        <c:lblAlgn val="ctr"/>
        <c:lblOffset val="100"/>
        <c:noMultiLvlLbl val="0"/>
      </c:catAx>
      <c:valAx>
        <c:axId val="18462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4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Rasio Likuiditas Asuransi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RU!$K$2:$K$11</c:f>
              <c:strCache>
                <c:ptCount val="10"/>
                <c:pt idx="0">
                  <c:v>PT Victoria Insurance Tbk.</c:v>
                </c:pt>
                <c:pt idx="1">
                  <c:v>PT Asuransi Allianz Utama Indonesia</c:v>
                </c:pt>
                <c:pt idx="2">
                  <c:v>PT Asuransi Bina Dana Arta Tbk.</c:v>
                </c:pt>
                <c:pt idx="3">
                  <c:v>PT Asuransi Tugu Pratama Indonesia Tbk.</c:v>
                </c:pt>
                <c:pt idx="4">
                  <c:v>PT Citra International Underwriters</c:v>
                </c:pt>
                <c:pt idx="5">
                  <c:v>PT Asuransi Perisai Listrik Nasional*</c:v>
                </c:pt>
                <c:pt idx="6">
                  <c:v>PT Asuransi Digital Bersama Tbk.</c:v>
                </c:pt>
                <c:pt idx="7">
                  <c:v>PT Asuransi Sinar Mas</c:v>
                </c:pt>
                <c:pt idx="8">
                  <c:v>PT BRI Asuransi Indonesia</c:v>
                </c:pt>
                <c:pt idx="9">
                  <c:v>PT Chubb General Insurance Indonesia</c:v>
                </c:pt>
              </c:strCache>
            </c:strRef>
          </c:cat>
          <c:val>
            <c:numRef>
              <c:f>RU!$L$2:$L$11</c:f>
              <c:numCache>
                <c:formatCode>0%</c:formatCode>
                <c:ptCount val="10"/>
                <c:pt idx="0">
                  <c:v>3.16</c:v>
                </c:pt>
                <c:pt idx="1">
                  <c:v>2.7709999999999999</c:v>
                </c:pt>
                <c:pt idx="2">
                  <c:v>2.7414000000000001</c:v>
                </c:pt>
                <c:pt idx="3">
                  <c:v>2.5211999999999999</c:v>
                </c:pt>
                <c:pt idx="4">
                  <c:v>2.27</c:v>
                </c:pt>
                <c:pt idx="5">
                  <c:v>2.19</c:v>
                </c:pt>
                <c:pt idx="6">
                  <c:v>2.1634000000000002</c:v>
                </c:pt>
                <c:pt idx="7">
                  <c:v>2.1623999999999999</c:v>
                </c:pt>
                <c:pt idx="8">
                  <c:v>2.1556000000000002</c:v>
                </c:pt>
                <c:pt idx="9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0-4AEE-9B2F-1B2833492E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6245647"/>
        <c:axId val="1846239887"/>
      </c:barChart>
      <c:catAx>
        <c:axId val="184624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39887"/>
        <c:crosses val="autoZero"/>
        <c:auto val="1"/>
        <c:lblAlgn val="ctr"/>
        <c:lblOffset val="100"/>
        <c:noMultiLvlLbl val="0"/>
      </c:catAx>
      <c:valAx>
        <c:axId val="184623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24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Inflasi dan BI Rate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'Makro Ekonomi'!$B$3</c:f>
              <c:strCache>
                <c:ptCount val="1"/>
                <c:pt idx="0">
                  <c:v>BI Rate</c:v>
                </c:pt>
              </c:strCache>
            </c:strRef>
          </c:tx>
          <c:spPr>
            <a:ln w="28575" cap="rnd">
              <a:solidFill>
                <a:srgbClr val="B4C6E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B4C6E7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'Makro Ekonomi'!$C$2:$O$2</c:f>
              <c:strCache>
                <c:ptCount val="13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Mei-25</c:v>
                </c:pt>
                <c:pt idx="5">
                  <c:v>Jun-25</c:v>
                </c:pt>
                <c:pt idx="6">
                  <c:v>Jul-25</c:v>
                </c:pt>
                <c:pt idx="7">
                  <c:v>Agu-25</c:v>
                </c:pt>
                <c:pt idx="8">
                  <c:v>Sep-25</c:v>
                </c:pt>
                <c:pt idx="9">
                  <c:v>Okt-25</c:v>
                </c:pt>
                <c:pt idx="10">
                  <c:v>Nov-25</c:v>
                </c:pt>
                <c:pt idx="11">
                  <c:v>Des-25</c:v>
                </c:pt>
                <c:pt idx="12">
                  <c:v>Jan-26</c:v>
                </c:pt>
              </c:strCache>
            </c:strRef>
          </c:cat>
          <c:val>
            <c:numRef>
              <c:f>'Makro Ekonomi'!$C$3:$O$3</c:f>
              <c:numCache>
                <c:formatCode>0.00%</c:formatCode>
                <c:ptCount val="13"/>
                <c:pt idx="0" formatCode="0%">
                  <c:v>0.05</c:v>
                </c:pt>
                <c:pt idx="1">
                  <c:v>5.7500000000000002E-2</c:v>
                </c:pt>
                <c:pt idx="2">
                  <c:v>5.7500000000000002E-2</c:v>
                </c:pt>
                <c:pt idx="3">
                  <c:v>5.7500000000000002E-2</c:v>
                </c:pt>
                <c:pt idx="4">
                  <c:v>5.5E-2</c:v>
                </c:pt>
                <c:pt idx="5">
                  <c:v>5.5E-2</c:v>
                </c:pt>
                <c:pt idx="6">
                  <c:v>5.2499999999999998E-2</c:v>
                </c:pt>
                <c:pt idx="7" formatCode="0%">
                  <c:v>0.05</c:v>
                </c:pt>
                <c:pt idx="8">
                  <c:v>4.7500000000000001E-2</c:v>
                </c:pt>
                <c:pt idx="9">
                  <c:v>4.7500000000000001E-2</c:v>
                </c:pt>
                <c:pt idx="10">
                  <c:v>4.7500000000000001E-2</c:v>
                </c:pt>
                <c:pt idx="11">
                  <c:v>4.7500000000000001E-2</c:v>
                </c:pt>
                <c:pt idx="12">
                  <c:v>4.7500000000000001E-2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3-40C8-92B2-B3F9FAA7271A}"/>
            </c:ext>
          </c:extLst>
        </c:ser>
        <c:ser>
          <c:idx val="1"/>
          <c:order val="1"/>
          <c:tx>
            <c:strRef>
              <c:f>'Makro Ekonomi'!$B$4</c:f>
              <c:strCache>
                <c:ptCount val="1"/>
                <c:pt idx="0">
                  <c:v>Inflasi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'Makro Ekonomi'!$C$2:$O$2</c:f>
              <c:strCache>
                <c:ptCount val="13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Mei-25</c:v>
                </c:pt>
                <c:pt idx="5">
                  <c:v>Jun-25</c:v>
                </c:pt>
                <c:pt idx="6">
                  <c:v>Jul-25</c:v>
                </c:pt>
                <c:pt idx="7">
                  <c:v>Agu-25</c:v>
                </c:pt>
                <c:pt idx="8">
                  <c:v>Sep-25</c:v>
                </c:pt>
                <c:pt idx="9">
                  <c:v>Okt-25</c:v>
                </c:pt>
                <c:pt idx="10">
                  <c:v>Nov-25</c:v>
                </c:pt>
                <c:pt idx="11">
                  <c:v>Des-25</c:v>
                </c:pt>
                <c:pt idx="12">
                  <c:v>Jan-26</c:v>
                </c:pt>
              </c:strCache>
            </c:strRef>
          </c:cat>
          <c:val>
            <c:numRef>
              <c:f>'Makro Ekonomi'!$C$4:$O$4</c:f>
              <c:numCache>
                <c:formatCode>0%</c:formatCode>
                <c:ptCount val="13"/>
                <c:pt idx="0" formatCode="0.00%">
                  <c:v>7.6E-3</c:v>
                </c:pt>
                <c:pt idx="1">
                  <c:v>0</c:v>
                </c:pt>
                <c:pt idx="2" formatCode="0.00%">
                  <c:v>1.03E-2</c:v>
                </c:pt>
                <c:pt idx="3" formatCode="0.00%">
                  <c:v>1.95E-2</c:v>
                </c:pt>
                <c:pt idx="4" formatCode="0.00%">
                  <c:v>1.6E-2</c:v>
                </c:pt>
                <c:pt idx="5" formatCode="0.00%">
                  <c:v>1.8700000000000001E-2</c:v>
                </c:pt>
                <c:pt idx="6" formatCode="0.00%">
                  <c:v>2.3699999999999999E-2</c:v>
                </c:pt>
                <c:pt idx="7" formatCode="0.00%">
                  <c:v>2.3099999999999999E-2</c:v>
                </c:pt>
                <c:pt idx="8" formatCode="0.00%">
                  <c:v>2.6499999999999999E-2</c:v>
                </c:pt>
                <c:pt idx="9" formatCode="0.00%">
                  <c:v>2.86E-2</c:v>
                </c:pt>
                <c:pt idx="10" formatCode="0.00%">
                  <c:v>2.7199999999999998E-2</c:v>
                </c:pt>
                <c:pt idx="11" formatCode="0.00%">
                  <c:v>2.92E-2</c:v>
                </c:pt>
                <c:pt idx="12" formatCode="0.00%">
                  <c:v>3.5499999999999997E-2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3-40C8-92B2-B3F9FAA727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0093263"/>
        <c:axId val="1600087503"/>
      </c:lineChart>
      <c:catAx>
        <c:axId val="16000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87503"/>
        <c:crosses val="autoZero"/>
        <c:auto val="1"/>
        <c:lblAlgn val="ctr"/>
        <c:lblOffset val="100"/>
        <c:noMultiLvlLbl val="0"/>
      </c:catAx>
      <c:valAx>
        <c:axId val="16000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Estimasi Market Share Reasuransi Nasional Indonesia </a:t>
            </a:r>
            <a:br>
              <a:rPr lang="en-US" sz="1200"/>
            </a:br>
            <a:r>
              <a:rPr lang="en-US" sz="1200"/>
              <a:t>(Q3 2025)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D6-4DA8-A8A8-A0D6EBDF55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D6-4DA8-A8A8-A0D6EBDF55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D6-4DA8-A8A8-A0D6EBDF55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D6-4DA8-A8A8-A0D6EBDF55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D6-4DA8-A8A8-A0D6EBDF55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D6-4DA8-A8A8-A0D6EBDF5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'Makro Ekonomi'!$AB$26:$AG$26</c:f>
              <c:strCache>
                <c:ptCount val="6"/>
                <c:pt idx="0">
                  <c:v>Indonesia Re</c:v>
                </c:pt>
                <c:pt idx="1">
                  <c:v>Tugu Re</c:v>
                </c:pt>
                <c:pt idx="2">
                  <c:v>Marein</c:v>
                </c:pt>
                <c:pt idx="3">
                  <c:v>Nusantara Re</c:v>
                </c:pt>
                <c:pt idx="4">
                  <c:v>Maipark</c:v>
                </c:pt>
                <c:pt idx="5">
                  <c:v>Lainnya</c:v>
                </c:pt>
              </c:strCache>
            </c:strRef>
          </c:cat>
          <c:val>
            <c:numRef>
              <c:f>'Makro Ekonomi'!$AB$27:$AG$27</c:f>
              <c:numCache>
                <c:formatCode>0%</c:formatCode>
                <c:ptCount val="6"/>
                <c:pt idx="0">
                  <c:v>0.32</c:v>
                </c:pt>
                <c:pt idx="1">
                  <c:v>0.18</c:v>
                </c:pt>
                <c:pt idx="2">
                  <c:v>0.15</c:v>
                </c:pt>
                <c:pt idx="3">
                  <c:v>0.12</c:v>
                </c:pt>
                <c:pt idx="4">
                  <c:v>0.08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7-42E8-B9C5-B139E095AD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Jumlah Aset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nov'!$A$5:$A$14</c:f>
              <c:strCache>
                <c:ptCount val="10"/>
                <c:pt idx="0">
                  <c:v>Manulife Indonesia</c:v>
                </c:pt>
                <c:pt idx="1">
                  <c:v>Indolife Pensiontama</c:v>
                </c:pt>
                <c:pt idx="2">
                  <c:v>Prudential</c:v>
                </c:pt>
                <c:pt idx="3">
                  <c:v>AXA Mandiri</c:v>
                </c:pt>
                <c:pt idx="4">
                  <c:v>AIA Financial</c:v>
                </c:pt>
                <c:pt idx="5">
                  <c:v>Allianz Life</c:v>
                </c:pt>
                <c:pt idx="6">
                  <c:v>IFG Life</c:v>
                </c:pt>
                <c:pt idx="7">
                  <c:v>BNI Life</c:v>
                </c:pt>
                <c:pt idx="8">
                  <c:v>BRI Life</c:v>
                </c:pt>
                <c:pt idx="9">
                  <c:v>Sequis Life</c:v>
                </c:pt>
              </c:strCache>
            </c:strRef>
          </c:cat>
          <c:val>
            <c:numRef>
              <c:f>'jiwa nov'!$B$5:$B$14</c:f>
              <c:numCache>
                <c:formatCode>_-"Rp"* #,##0_-;\-"Rp"* #,##0_-;_-"Rp"* "-"??_-;_-@_-</c:formatCode>
                <c:ptCount val="10"/>
                <c:pt idx="0">
                  <c:v>66788973</c:v>
                </c:pt>
                <c:pt idx="1">
                  <c:v>64468426</c:v>
                </c:pt>
                <c:pt idx="2">
                  <c:v>60841871</c:v>
                </c:pt>
                <c:pt idx="3">
                  <c:v>43794521</c:v>
                </c:pt>
                <c:pt idx="4">
                  <c:v>43228077</c:v>
                </c:pt>
                <c:pt idx="5">
                  <c:v>37583816</c:v>
                </c:pt>
                <c:pt idx="6">
                  <c:v>31038321</c:v>
                </c:pt>
                <c:pt idx="7">
                  <c:v>28375835</c:v>
                </c:pt>
                <c:pt idx="8">
                  <c:v>27407983</c:v>
                </c:pt>
                <c:pt idx="9">
                  <c:v>22959673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B-45A6-92BF-773E29BDE5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619719"/>
        <c:axId val="341621767"/>
      </c:barChart>
      <c:catAx>
        <c:axId val="34161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21767"/>
        <c:crosses val="autoZero"/>
        <c:auto val="1"/>
        <c:lblAlgn val="ctr"/>
        <c:lblOffset val="100"/>
        <c:noMultiLvlLbl val="0"/>
      </c:catAx>
      <c:valAx>
        <c:axId val="341621767"/>
        <c:scaling>
          <c:orientation val="minMax"/>
          <c:max val="7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619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Jumlah Ekuitas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46792962299130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19.509.873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64C-4B74-857E-54BB300CFA7C}"/>
                </c:ext>
              </c:extLst>
            </c:dLbl>
            <c:dLbl>
              <c:idx val="1"/>
              <c:layout>
                <c:manualLayout>
                  <c:x val="8.0020485318747402E-8"/>
                  <c:y val="9.598171582880055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16.143.126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64C-4B74-857E-54BB300CFA7C}"/>
                </c:ext>
              </c:extLst>
            </c:dLbl>
            <c:dLbl>
              <c:idx val="2"/>
              <c:layout>
                <c:manualLayout>
                  <c:x val="2.7101494668832593E-3"/>
                  <c:y val="-5.64591646572629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11.327.645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64C-4B74-857E-54BB300CFA7C}"/>
                </c:ext>
              </c:extLst>
            </c:dLbl>
            <c:dLbl>
              <c:idx val="3"/>
              <c:layout>
                <c:manualLayout>
                  <c:x val="-3.3429401347074787E-3"/>
                  <c:y val="-0.1414931973169577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10.086.998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64C-4B74-857E-54BB300CFA7C}"/>
                </c:ext>
              </c:extLst>
            </c:dLbl>
            <c:dLbl>
              <c:idx val="4"/>
              <c:layout>
                <c:manualLayout>
                  <c:x val="1.6493407760425315E-3"/>
                  <c:y val="-4.54763742389160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9.940.038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64C-4B74-857E-54BB300CFA7C}"/>
                </c:ext>
              </c:extLst>
            </c:dLbl>
            <c:dLbl>
              <c:idx val="5"/>
              <c:layout>
                <c:manualLayout>
                  <c:x val="-4.0650406504063753E-3"/>
                  <c:y val="7.9042801689002806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7.795.497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64C-4B74-857E-54BB300CFA7C}"/>
                </c:ext>
              </c:extLst>
            </c:dLbl>
            <c:dLbl>
              <c:idx val="6"/>
              <c:layout>
                <c:manualLayout>
                  <c:x val="-4.5653927098919674E-4"/>
                  <c:y val="-7.3396643587133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7.737.226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64C-4B74-857E-54BB300CFA7C}"/>
                </c:ext>
              </c:extLst>
            </c:dLbl>
            <c:dLbl>
              <c:idx val="7"/>
              <c:layout>
                <c:manualLayout>
                  <c:x val="-3.387513199472887E-3"/>
                  <c:y val="4.516746293561464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7.660.242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64C-4B74-857E-54BB300CFA7C}"/>
                </c:ext>
              </c:extLst>
            </c:dLbl>
            <c:dLbl>
              <c:idx val="8"/>
              <c:layout>
                <c:manualLayout>
                  <c:x val="1.3550549018671793E-3"/>
                  <c:y val="-8.01716005899073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7.484.523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64C-4B74-857E-54BB300CFA7C}"/>
                </c:ext>
              </c:extLst>
            </c:dLbl>
            <c:dLbl>
              <c:idx val="9"/>
              <c:layout>
                <c:manualLayout>
                  <c:x val="0"/>
                  <c:y val="5.645907022119462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6.789.659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64C-4B74-857E-54BB300CFA7C}"/>
                </c:ext>
              </c:extLst>
            </c:dLbl>
            <c:numFmt formatCode="_(&quot;Rp&quot;* #,##0_);_(&quot;Rp&quot;* \(#,##0\);_(&quot;Rp&quot;* &quot;-&quot;_);_(@_)" sourceLinked="0"/>
            <c:spPr>
              <a:solidFill>
                <a:srgbClr val="D9E1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nov'!$M$4:$M$13</c:f>
              <c:strCache>
                <c:ptCount val="10"/>
                <c:pt idx="0">
                  <c:v>Indolife Pensiontama</c:v>
                </c:pt>
                <c:pt idx="1">
                  <c:v>Manulife Indonesia</c:v>
                </c:pt>
                <c:pt idx="2">
                  <c:v>BRI Life</c:v>
                </c:pt>
                <c:pt idx="3">
                  <c:v>Sequis Life</c:v>
                </c:pt>
                <c:pt idx="4">
                  <c:v>AIA</c:v>
                </c:pt>
                <c:pt idx="5">
                  <c:v>Allianz Life</c:v>
                </c:pt>
                <c:pt idx="6">
                  <c:v>Sun Life</c:v>
                </c:pt>
                <c:pt idx="7">
                  <c:v>MSIG Life</c:v>
                </c:pt>
                <c:pt idx="8">
                  <c:v>Prudential</c:v>
                </c:pt>
                <c:pt idx="9">
                  <c:v>BNI Life</c:v>
                </c:pt>
              </c:strCache>
            </c:strRef>
          </c:cat>
          <c:val>
            <c:numRef>
              <c:f>'jiwa nov'!$N$4:$N$13</c:f>
              <c:numCache>
                <c:formatCode>_-"Rp"* #,##0_-;\-"Rp"* #,##0_-;_-"Rp"* "-"??_-;_-@_-</c:formatCode>
                <c:ptCount val="10"/>
                <c:pt idx="0">
                  <c:v>19509873</c:v>
                </c:pt>
                <c:pt idx="1">
                  <c:v>16143126</c:v>
                </c:pt>
                <c:pt idx="2">
                  <c:v>11327645</c:v>
                </c:pt>
                <c:pt idx="3">
                  <c:v>10086998</c:v>
                </c:pt>
                <c:pt idx="4">
                  <c:v>9940038</c:v>
                </c:pt>
                <c:pt idx="5">
                  <c:v>7795497</c:v>
                </c:pt>
                <c:pt idx="6">
                  <c:v>7737226</c:v>
                </c:pt>
                <c:pt idx="7">
                  <c:v>7660242</c:v>
                </c:pt>
                <c:pt idx="8">
                  <c:v>7484523</c:v>
                </c:pt>
                <c:pt idx="9">
                  <c:v>6789659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C-4B74-857E-54BB300CFA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8620679"/>
        <c:axId val="278641159"/>
      </c:barChart>
      <c:catAx>
        <c:axId val="27862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41159"/>
        <c:crosses val="autoZero"/>
        <c:auto val="1"/>
        <c:lblAlgn val="ctr"/>
        <c:lblOffset val="100"/>
        <c:noMultiLvlLbl val="0"/>
      </c:catAx>
      <c:valAx>
        <c:axId val="27864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20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Pendapatan Premi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33C0C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18.997.571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AFB-416A-B6B6-3B8041E1AF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16.845.120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AFB-416A-B6B6-3B8041E1AF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12.248.985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AFB-416A-B6B6-3B8041E1AF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9.710.371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AFB-416A-B6B6-3B8041E1AF66}"/>
                </c:ext>
              </c:extLst>
            </c:dLbl>
            <c:dLbl>
              <c:idx val="4"/>
              <c:layout>
                <c:manualLayout>
                  <c:x val="-9.3699624226931946E-4"/>
                  <c:y val="-0.1152263374485597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8.769.983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FB-416A-B6B6-3B8041E1AF66}"/>
                </c:ext>
              </c:extLst>
            </c:dLbl>
            <c:dLbl>
              <c:idx val="5"/>
              <c:layout>
                <c:manualLayout>
                  <c:x val="-9.2767218456919867E-17"/>
                  <c:y val="-4.85988394923941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8.551.696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AFB-416A-B6B6-3B8041E1AF66}"/>
                </c:ext>
              </c:extLst>
            </c:dLbl>
            <c:dLbl>
              <c:idx val="6"/>
              <c:layout>
                <c:manualLayout>
                  <c:x val="9.3710416719411534E-4"/>
                  <c:y val="-2.42993468318629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7.254.868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AFB-416A-B6B6-3B8041E1AF66}"/>
                </c:ext>
              </c:extLst>
            </c:dLbl>
            <c:dLbl>
              <c:idx val="7"/>
              <c:layout>
                <c:manualLayout>
                  <c:x val="1.8741197939061286E-3"/>
                  <c:y val="-0.1019006837017913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5.282.409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AFB-416A-B6B6-3B8041E1AF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4.628.457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AFB-416A-B6B6-3B8041E1AF66}"/>
                </c:ext>
              </c:extLst>
            </c:dLbl>
            <c:spPr>
              <a:solidFill>
                <a:srgbClr val="D9E1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nov'!$A$18:$A$27</c:f>
              <c:strCache>
                <c:ptCount val="10"/>
                <c:pt idx="0">
                  <c:v>Prudential</c:v>
                </c:pt>
                <c:pt idx="1">
                  <c:v>Allianz Life</c:v>
                </c:pt>
                <c:pt idx="2">
                  <c:v>Indolife</c:v>
                </c:pt>
                <c:pt idx="3">
                  <c:v>Manulife</c:v>
                </c:pt>
                <c:pt idx="4">
                  <c:v>AXA Mandiri</c:v>
                </c:pt>
                <c:pt idx="5">
                  <c:v>AIA</c:v>
                </c:pt>
                <c:pt idx="6">
                  <c:v>BRI Life</c:v>
                </c:pt>
                <c:pt idx="7">
                  <c:v>BNI Life</c:v>
                </c:pt>
                <c:pt idx="8">
                  <c:v>Simas Jiwa</c:v>
                </c:pt>
                <c:pt idx="9">
                  <c:v>Inhealth Indonesia</c:v>
                </c:pt>
              </c:strCache>
            </c:strRef>
          </c:cat>
          <c:val>
            <c:numRef>
              <c:f>'jiwa nov'!$B$18:$B$27</c:f>
              <c:numCache>
                <c:formatCode>_-"Rp"* #,##0_-;\-"Rp"* #,##0_-;_-"Rp"* "-"??_-;_-@_-</c:formatCode>
                <c:ptCount val="10"/>
                <c:pt idx="0">
                  <c:v>18997571</c:v>
                </c:pt>
                <c:pt idx="1">
                  <c:v>16845120</c:v>
                </c:pt>
                <c:pt idx="2">
                  <c:v>12248985</c:v>
                </c:pt>
                <c:pt idx="3">
                  <c:v>9710371</c:v>
                </c:pt>
                <c:pt idx="4">
                  <c:v>8769983</c:v>
                </c:pt>
                <c:pt idx="5">
                  <c:v>8551696</c:v>
                </c:pt>
                <c:pt idx="6">
                  <c:v>7254868</c:v>
                </c:pt>
                <c:pt idx="7">
                  <c:v>5282409</c:v>
                </c:pt>
                <c:pt idx="8">
                  <c:v>4628457</c:v>
                </c:pt>
                <c:pt idx="9">
                  <c:v>4579369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B-416A-B6B6-3B8041E1A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1894920"/>
        <c:axId val="1681910792"/>
      </c:barChart>
      <c:catAx>
        <c:axId val="168189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10792"/>
        <c:crosses val="autoZero"/>
        <c:auto val="1"/>
        <c:lblAlgn val="ctr"/>
        <c:lblOffset val="100"/>
        <c:noMultiLvlLbl val="0"/>
      </c:catAx>
      <c:valAx>
        <c:axId val="168191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94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Premi Reasuransi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685.175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774-4D68-839A-86C21E8AD0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515.021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774-4D68-839A-86C21E8AD0A2}"/>
                </c:ext>
              </c:extLst>
            </c:dLbl>
            <c:dLbl>
              <c:idx val="2"/>
              <c:layout>
                <c:manualLayout>
                  <c:x val="7.5231658087836373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440.252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774-4D68-839A-86C21E8AD0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230.717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774-4D68-839A-86C21E8AD0A2}"/>
                </c:ext>
              </c:extLst>
            </c:dLbl>
            <c:dLbl>
              <c:idx val="4"/>
              <c:layout>
                <c:manualLayout>
                  <c:x val="5.787035904531404E-3"/>
                  <c:y val="1.928920267482874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187.816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774-4D68-839A-86C21E8AD0A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42.159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774-4D68-839A-86C21E8AD0A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30.519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774-4D68-839A-86C21E8AD0A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27.039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774-4D68-839A-86C21E8AD0A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20.638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774-4D68-839A-86C21E8AD0A2}"/>
                </c:ext>
              </c:extLst>
            </c:dLbl>
            <c:spPr>
              <a:solidFill>
                <a:srgbClr val="D9E1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nov'!$M$18:$M$27</c:f>
              <c:strCache>
                <c:ptCount val="10"/>
                <c:pt idx="0">
                  <c:v>Prudential</c:v>
                </c:pt>
                <c:pt idx="1">
                  <c:v>AIA </c:v>
                </c:pt>
                <c:pt idx="2">
                  <c:v>Lippo Life</c:v>
                </c:pt>
                <c:pt idx="3">
                  <c:v>Central Asia Raya</c:v>
                </c:pt>
                <c:pt idx="4">
                  <c:v>BRI Life</c:v>
                </c:pt>
                <c:pt idx="5">
                  <c:v>Hanwha Life</c:v>
                </c:pt>
                <c:pt idx="6">
                  <c:v>Hekka Solution</c:v>
                </c:pt>
                <c:pt idx="7">
                  <c:v>Simas Jiwa</c:v>
                </c:pt>
                <c:pt idx="8">
                  <c:v>Victoria Alife</c:v>
                </c:pt>
                <c:pt idx="9">
                  <c:v>Chubb Life</c:v>
                </c:pt>
              </c:strCache>
            </c:strRef>
          </c:cat>
          <c:val>
            <c:numRef>
              <c:f>'jiwa nov'!$N$18:$N$27</c:f>
              <c:numCache>
                <c:formatCode>_-"Rp"* #,##0_-;\-"Rp"* #,##0_-;_-"Rp"* "-"??_-;_-@_-</c:formatCode>
                <c:ptCount val="10"/>
                <c:pt idx="0">
                  <c:v>685175</c:v>
                </c:pt>
                <c:pt idx="1">
                  <c:v>515021</c:v>
                </c:pt>
                <c:pt idx="2">
                  <c:v>440252</c:v>
                </c:pt>
                <c:pt idx="3">
                  <c:v>230717</c:v>
                </c:pt>
                <c:pt idx="4">
                  <c:v>187816</c:v>
                </c:pt>
                <c:pt idx="5">
                  <c:v>42159</c:v>
                </c:pt>
                <c:pt idx="6">
                  <c:v>30519</c:v>
                </c:pt>
                <c:pt idx="7">
                  <c:v>27039</c:v>
                </c:pt>
                <c:pt idx="8">
                  <c:v>20638</c:v>
                </c:pt>
                <c:pt idx="9">
                  <c:v>20448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4-4D68-839A-86C21E8AD0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9160072"/>
        <c:axId val="1699162120"/>
      </c:barChart>
      <c:catAx>
        <c:axId val="169916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62120"/>
        <c:crosses val="autoZero"/>
        <c:auto val="1"/>
        <c:lblAlgn val="ctr"/>
        <c:lblOffset val="100"/>
        <c:noMultiLvlLbl val="0"/>
      </c:catAx>
      <c:valAx>
        <c:axId val="16991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60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Laba Rugi Komprehensif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4.705.960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5542-4D3C-901E-50E51006B059}"/>
                </c:ext>
              </c:extLst>
            </c:dLbl>
            <c:dLbl>
              <c:idx val="1"/>
              <c:layout>
                <c:manualLayout>
                  <c:x val="-3.0120244659530373E-3"/>
                  <c:y val="-6.56815484271363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1.829.758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542-4D3C-901E-50E51006B059}"/>
                </c:ext>
              </c:extLst>
            </c:dLbl>
            <c:dLbl>
              <c:idx val="2"/>
              <c:layout>
                <c:manualLayout>
                  <c:x val="-1.2047094543462613E-3"/>
                  <c:y val="-1.97044334975370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1.471.793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542-4D3C-901E-50E51006B059}"/>
                </c:ext>
              </c:extLst>
            </c:dLbl>
            <c:dLbl>
              <c:idx val="3"/>
              <c:layout>
                <c:manualLayout>
                  <c:x val="2.4096395110464203E-3"/>
                  <c:y val="-0.109469008171695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1.405.266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542-4D3C-901E-50E51006B059}"/>
                </c:ext>
              </c:extLst>
            </c:dLbl>
            <c:dLbl>
              <c:idx val="4"/>
              <c:layout>
                <c:manualLayout>
                  <c:x val="9.2507078489276949E-8"/>
                  <c:y val="-3.3935414316896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1.362.481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542-4D3C-901E-50E51006B059}"/>
                </c:ext>
              </c:extLst>
            </c:dLbl>
            <c:dLbl>
              <c:idx val="5"/>
              <c:layout>
                <c:manualLayout>
                  <c:x val="-2.4095292098695641E-3"/>
                  <c:y val="-0.1357415861684113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1.194.384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542-4D3C-901E-50E51006B059}"/>
                </c:ext>
              </c:extLst>
            </c:dLbl>
            <c:dLbl>
              <c:idx val="6"/>
              <c:layout>
                <c:manualLayout>
                  <c:x val="-3.011939087631007E-3"/>
                  <c:y val="-6.349199667744244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1.026.263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542-4D3C-901E-50E51006B0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903.836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5542-4D3C-901E-50E51006B059}"/>
                </c:ext>
              </c:extLst>
            </c:dLbl>
            <c:dLbl>
              <c:idx val="8"/>
              <c:layout>
                <c:manualLayout>
                  <c:x val="1.204819755523071E-3"/>
                  <c:y val="-9.08592988313322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762.551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542-4D3C-901E-50E51006B059}"/>
                </c:ext>
              </c:extLst>
            </c:dLbl>
            <c:dLbl>
              <c:idx val="9"/>
              <c:layout>
                <c:manualLayout>
                  <c:x val="1.2048197555232566E-3"/>
                  <c:y val="-4.378696184831679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630.361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542-4D3C-901E-50E51006B059}"/>
                </c:ext>
              </c:extLst>
            </c:dLbl>
            <c:spPr>
              <a:solidFill>
                <a:srgbClr val="D9E1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nov'!$A$34:$A$43</c:f>
              <c:strCache>
                <c:ptCount val="10"/>
                <c:pt idx="0">
                  <c:v>Sequis Life</c:v>
                </c:pt>
                <c:pt idx="1">
                  <c:v>Prudential</c:v>
                </c:pt>
                <c:pt idx="2">
                  <c:v>Pacific Life</c:v>
                </c:pt>
                <c:pt idx="3">
                  <c:v>BRI Life</c:v>
                </c:pt>
                <c:pt idx="4">
                  <c:v>Allianz Life</c:v>
                </c:pt>
                <c:pt idx="5">
                  <c:v>AXA Mandiri</c:v>
                </c:pt>
                <c:pt idx="6">
                  <c:v>AIA</c:v>
                </c:pt>
                <c:pt idx="7">
                  <c:v>BNI Life</c:v>
                </c:pt>
                <c:pt idx="8">
                  <c:v>Capital Life</c:v>
                </c:pt>
                <c:pt idx="9">
                  <c:v>IFG Life</c:v>
                </c:pt>
              </c:strCache>
            </c:strRef>
          </c:cat>
          <c:val>
            <c:numRef>
              <c:f>'jiwa nov'!$B$34:$B$43</c:f>
              <c:numCache>
                <c:formatCode>_-"Rp"* #,##0_-;\-"Rp"* #,##0_-;_-"Rp"* "-"??_-;_-@_-</c:formatCode>
                <c:ptCount val="10"/>
                <c:pt idx="0">
                  <c:v>4705960</c:v>
                </c:pt>
                <c:pt idx="1">
                  <c:v>1829758</c:v>
                </c:pt>
                <c:pt idx="2">
                  <c:v>1471793</c:v>
                </c:pt>
                <c:pt idx="3">
                  <c:v>1405266</c:v>
                </c:pt>
                <c:pt idx="4">
                  <c:v>1362481</c:v>
                </c:pt>
                <c:pt idx="5">
                  <c:v>1194384</c:v>
                </c:pt>
                <c:pt idx="6">
                  <c:v>1026263</c:v>
                </c:pt>
                <c:pt idx="7">
                  <c:v>903836</c:v>
                </c:pt>
                <c:pt idx="8">
                  <c:v>762551</c:v>
                </c:pt>
                <c:pt idx="9">
                  <c:v>620467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2-4D3C-901E-50E51006B0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9209736"/>
        <c:axId val="1699212296"/>
      </c:barChart>
      <c:catAx>
        <c:axId val="169920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212296"/>
        <c:crosses val="autoZero"/>
        <c:auto val="1"/>
        <c:lblAlgn val="ctr"/>
        <c:lblOffset val="100"/>
        <c:noMultiLvlLbl val="0"/>
      </c:catAx>
      <c:valAx>
        <c:axId val="169921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209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Rasio Solvabilitas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7852143482074931E-4"/>
                  <c:y val="-9.16280256634587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95-499A-991E-3E50FE84CDE1}"/>
                </c:ext>
              </c:extLst>
            </c:dLbl>
            <c:dLbl>
              <c:idx val="4"/>
              <c:layout>
                <c:manualLayout>
                  <c:x val="1.811363773211863E-7"/>
                  <c:y val="-3.85801880447951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95-499A-991E-3E50FE84CDE1}"/>
                </c:ext>
              </c:extLst>
            </c:dLbl>
            <c:dLbl>
              <c:idx val="6"/>
              <c:layout>
                <c:manualLayout>
                  <c:x val="5.7877434624576155E-4"/>
                  <c:y val="-7.90894473040547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95-499A-991E-3E50FE84CDE1}"/>
                </c:ext>
              </c:extLst>
            </c:dLbl>
            <c:dLbl>
              <c:idx val="9"/>
              <c:layout>
                <c:manualLayout>
                  <c:x val="-5.7852143482085112E-4"/>
                  <c:y val="-8.00539829112865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95-499A-991E-3E50FE84CDE1}"/>
                </c:ext>
              </c:extLst>
            </c:dLbl>
            <c:spPr>
              <a:solidFill>
                <a:srgbClr val="D9E1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nov'!$M$32:$M$41</c:f>
              <c:strCache>
                <c:ptCount val="10"/>
                <c:pt idx="0">
                  <c:v>Seainsure Life</c:v>
                </c:pt>
                <c:pt idx="1">
                  <c:v>MSIG Life</c:v>
                </c:pt>
                <c:pt idx="2">
                  <c:v>Panin Dai Chi Life</c:v>
                </c:pt>
                <c:pt idx="3">
                  <c:v>Hanwha Life</c:v>
                </c:pt>
                <c:pt idx="4">
                  <c:v>Victoria Alife</c:v>
                </c:pt>
                <c:pt idx="5">
                  <c:v>Starinvestama</c:v>
                </c:pt>
                <c:pt idx="6">
                  <c:v>BNI Life</c:v>
                </c:pt>
                <c:pt idx="7">
                  <c:v>Central Asia Financial</c:v>
                </c:pt>
                <c:pt idx="8">
                  <c:v>Avrist Assurance</c:v>
                </c:pt>
                <c:pt idx="9">
                  <c:v>BRI Life</c:v>
                </c:pt>
              </c:strCache>
            </c:strRef>
          </c:cat>
          <c:val>
            <c:numRef>
              <c:f>'jiwa nov'!$N$32:$N$41</c:f>
              <c:numCache>
                <c:formatCode>0%</c:formatCode>
                <c:ptCount val="10"/>
                <c:pt idx="0">
                  <c:v>17.27</c:v>
                </c:pt>
                <c:pt idx="1">
                  <c:v>14.0082</c:v>
                </c:pt>
                <c:pt idx="2">
                  <c:v>10.39</c:v>
                </c:pt>
                <c:pt idx="3">
                  <c:v>9.4852000000000007</c:v>
                </c:pt>
                <c:pt idx="4">
                  <c:v>9.19</c:v>
                </c:pt>
                <c:pt idx="5">
                  <c:v>9.0992999999999995</c:v>
                </c:pt>
                <c:pt idx="6">
                  <c:v>9.0675000000000008</c:v>
                </c:pt>
                <c:pt idx="7">
                  <c:v>8.5648</c:v>
                </c:pt>
                <c:pt idx="8">
                  <c:v>7.44</c:v>
                </c:pt>
                <c:pt idx="9">
                  <c:v>7.1901999999999999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5-499A-991E-3E50FE84CD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1861640"/>
        <c:axId val="1681894408"/>
      </c:barChart>
      <c:catAx>
        <c:axId val="168186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94408"/>
        <c:crosses val="autoZero"/>
        <c:auto val="1"/>
        <c:lblAlgn val="ctr"/>
        <c:lblOffset val="100"/>
        <c:noMultiLvlLbl val="0"/>
      </c:catAx>
      <c:valAx>
        <c:axId val="168189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61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Rasio Likuiditas Asuransi Jiwa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4.6303587051618549E-4"/>
                  <c:y val="-0.118055555555555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82-4709-87E2-E3D388189790}"/>
                </c:ext>
              </c:extLst>
            </c:dLbl>
            <c:dLbl>
              <c:idx val="4"/>
              <c:layout>
                <c:manualLayout>
                  <c:x val="0"/>
                  <c:y val="-7.7160446732132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82-4709-87E2-E3D388189790}"/>
                </c:ext>
              </c:extLst>
            </c:dLbl>
            <c:dLbl>
              <c:idx val="5"/>
              <c:layout>
                <c:manualLayout>
                  <c:x val="-9.2575185380269851E-4"/>
                  <c:y val="-1.54320752179181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82-4709-87E2-E3D388189790}"/>
                </c:ext>
              </c:extLst>
            </c:dLbl>
            <c:dLbl>
              <c:idx val="6"/>
              <c:layout>
                <c:manualLayout>
                  <c:x val="-1.0185067526415994E-16"/>
                  <c:y val="-8.79626963902715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82-4709-87E2-E3D388189790}"/>
                </c:ext>
              </c:extLst>
            </c:dLbl>
            <c:dLbl>
              <c:idx val="7"/>
              <c:layout>
                <c:manualLayout>
                  <c:x val="-9.2585301837270345E-4"/>
                  <c:y val="-3.00925925925925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82-4709-87E2-E3D388189790}"/>
                </c:ext>
              </c:extLst>
            </c:dLbl>
            <c:dLbl>
              <c:idx val="8"/>
              <c:layout>
                <c:manualLayout>
                  <c:x val="1.388888888888787E-3"/>
                  <c:y val="1.00308877450448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82-4709-87E2-E3D388189790}"/>
                </c:ext>
              </c:extLst>
            </c:dLbl>
            <c:spPr>
              <a:solidFill>
                <a:srgbClr val="D9E1F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'jiwa nov'!$M$46:$M$55</c:f>
              <c:strCache>
                <c:ptCount val="10"/>
                <c:pt idx="0">
                  <c:v>Sequis Financial</c:v>
                </c:pt>
                <c:pt idx="1">
                  <c:v>PFI Megalife</c:v>
                </c:pt>
                <c:pt idx="2">
                  <c:v>Central Asia Financial</c:v>
                </c:pt>
                <c:pt idx="3">
                  <c:v>Perta Life</c:v>
                </c:pt>
                <c:pt idx="4">
                  <c:v>Sequis Life</c:v>
                </c:pt>
                <c:pt idx="5">
                  <c:v>Generali Indonesia</c:v>
                </c:pt>
                <c:pt idx="6">
                  <c:v>Asuransi Jiwa Nasional</c:v>
                </c:pt>
                <c:pt idx="7">
                  <c:v>Hanwha Life</c:v>
                </c:pt>
                <c:pt idx="8">
                  <c:v>Victoria Alife</c:v>
                </c:pt>
                <c:pt idx="9">
                  <c:v>Central Asia Raya</c:v>
                </c:pt>
              </c:strCache>
            </c:strRef>
          </c:cat>
          <c:val>
            <c:numRef>
              <c:f>'jiwa nov'!$N$46:$N$55</c:f>
              <c:numCache>
                <c:formatCode>0%</c:formatCode>
                <c:ptCount val="10"/>
                <c:pt idx="0">
                  <c:v>9.0518000000000001</c:v>
                </c:pt>
                <c:pt idx="1">
                  <c:v>8.4600000000000009</c:v>
                </c:pt>
                <c:pt idx="2">
                  <c:v>5.5323000000000002</c:v>
                </c:pt>
                <c:pt idx="3">
                  <c:v>4.9733000000000001</c:v>
                </c:pt>
                <c:pt idx="4">
                  <c:v>4.82</c:v>
                </c:pt>
                <c:pt idx="5">
                  <c:v>4.7577999999999996</c:v>
                </c:pt>
                <c:pt idx="6">
                  <c:v>4.7111999999999998</c:v>
                </c:pt>
                <c:pt idx="7">
                  <c:v>4.5536000000000003</c:v>
                </c:pt>
                <c:pt idx="8">
                  <c:v>4.25</c:v>
                </c:pt>
                <c:pt idx="9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2-4709-87E2-E3D3881897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5729543"/>
        <c:axId val="345743879"/>
      </c:barChart>
      <c:catAx>
        <c:axId val="34572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43879"/>
        <c:crosses val="autoZero"/>
        <c:auto val="1"/>
        <c:lblAlgn val="ctr"/>
        <c:lblOffset val="100"/>
        <c:noMultiLvlLbl val="0"/>
      </c:catAx>
      <c:valAx>
        <c:axId val="34574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29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Penutupan</a:t>
            </a:r>
            <a:r>
              <a:rPr lang="en-US" sz="1200" baseline="0"/>
              <a:t> Tidak Langsung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2480278460844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CA-41C0-A5E4-97D0419D39D8}"/>
                </c:ext>
              </c:extLst>
            </c:dLbl>
            <c:dLbl>
              <c:idx val="1"/>
              <c:layout>
                <c:manualLayout>
                  <c:x val="0"/>
                  <c:y val="-1.6240139230422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CA-41C0-A5E4-97D0419D39D8}"/>
                </c:ext>
              </c:extLst>
            </c:dLbl>
            <c:dLbl>
              <c:idx val="3"/>
              <c:layout>
                <c:manualLayout>
                  <c:x val="3.0075772000071992E-3"/>
                  <c:y val="4.8602772588179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CA-41C0-A5E4-97D0419D39D8}"/>
                </c:ext>
              </c:extLst>
            </c:dLbl>
            <c:dLbl>
              <c:idx val="4"/>
              <c:layout>
                <c:manualLayout>
                  <c:x val="0"/>
                  <c:y val="5.39374783931558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CA-41C0-A5E4-97D0419D39D8}"/>
                </c:ext>
              </c:extLst>
            </c:dLbl>
            <c:spPr>
              <a:solidFill>
                <a:srgbClr val="002060">
                  <a:alpha val="5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Feb26'!$A$4:$A$10</c:f>
              <c:strCache>
                <c:ptCount val="7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Feb26'!$B$4:$B$10</c:f>
              <c:numCache>
                <c:formatCode>_(* #,##0_);_(* \(#,##0\);_(* "-"??_);_(@_)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6CCA-41C0-A5E4-97D0419D39D8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2.15749913572624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CA-41C0-A5E4-97D0419D39D8}"/>
                </c:ext>
              </c:extLst>
            </c:dLbl>
            <c:dLbl>
              <c:idx val="6"/>
              <c:layout>
                <c:manualLayout>
                  <c:x val="0"/>
                  <c:y val="1.07874956786311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CA-41C0-A5E4-97D0419D39D8}"/>
                </c:ext>
              </c:extLst>
            </c:dLbl>
            <c:spPr>
              <a:solidFill>
                <a:schemeClr val="accent6">
                  <a:lumMod val="75000"/>
                  <a:alpha val="6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Feb26'!$A$4:$A$10</c:f>
              <c:strCache>
                <c:ptCount val="7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Feb26'!$C$4:$C$10</c:f>
              <c:numCache>
                <c:formatCode>_-* #,##0_-;\-* #,##0_-;_-* "-"??_-;_-@_-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7-6CCA-41C0-A5E4-97D0419D39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565352976414082E-17"/>
                  <c:y val="2.71741339903054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D3-4BB3-A7F4-3688C4761C43}"/>
                </c:ext>
              </c:extLst>
            </c:dLbl>
            <c:dLbl>
              <c:idx val="3"/>
              <c:layout>
                <c:manualLayout>
                  <c:x val="0"/>
                  <c:y val="4.34786143844887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D3-4BB3-A7F4-3688C4761C43}"/>
                </c:ext>
              </c:extLst>
            </c:dLbl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Feb26'!$A$15:$A$21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Feb26'!$B$15:$B$21</c:f>
              <c:numCache>
                <c:formatCode>_(* #,##0_);_(* \(#,##0\);_(* "-"??_);_(@_)</c:formatCode>
                <c:ptCount val="7"/>
                <c:pt idx="0">
                  <c:v>742314</c:v>
                </c:pt>
                <c:pt idx="1">
                  <c:v>391716</c:v>
                </c:pt>
                <c:pt idx="2">
                  <c:v>173476</c:v>
                </c:pt>
                <c:pt idx="3">
                  <c:v>477908</c:v>
                </c:pt>
                <c:pt idx="4">
                  <c:v>26782</c:v>
                </c:pt>
                <c:pt idx="5">
                  <c:v>3048845</c:v>
                </c:pt>
                <c:pt idx="6">
                  <c:v>222355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D3-4BB3-A7F4-3688C4761C43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3.0071641542244263E-3"/>
                  <c:y val="3.26089607883665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D3-4BB3-A7F4-3688C4761C43}"/>
                </c:ext>
              </c:extLst>
            </c:dLbl>
            <c:dLbl>
              <c:idx val="4"/>
              <c:layout>
                <c:manualLayout>
                  <c:x val="0"/>
                  <c:y val="-3.80437875864276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D3-4BB3-A7F4-3688C4761C43}"/>
                </c:ext>
              </c:extLst>
            </c:dLbl>
            <c:dLbl>
              <c:idx val="6"/>
              <c:layout>
                <c:manualLayout>
                  <c:x val="-1.1026141190565633E-16"/>
                  <c:y val="-4.34786143844888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D3-4BB3-A7F4-3688C4761C43}"/>
                </c:ext>
              </c:extLst>
            </c:dLbl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Feb26'!$A$15:$A$21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Feb26'!$C$15:$C$21</c:f>
              <c:numCache>
                <c:formatCode>_(* #,##0_);_(* \(#,##0\);_(* "-"??_);_(@_)</c:formatCode>
                <c:ptCount val="7"/>
                <c:pt idx="0">
                  <c:v>1033818</c:v>
                </c:pt>
                <c:pt idx="1">
                  <c:v>464246</c:v>
                </c:pt>
                <c:pt idx="2">
                  <c:v>1077069</c:v>
                </c:pt>
                <c:pt idx="3">
                  <c:v>624256</c:v>
                </c:pt>
                <c:pt idx="4">
                  <c:v>30364</c:v>
                </c:pt>
                <c:pt idx="5">
                  <c:v>1681787</c:v>
                </c:pt>
                <c:pt idx="6">
                  <c:v>177957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D3-4BB3-A7F4-3688C4761C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 Hasil Underwriting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Feb26'!$A$26:$A$32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Feb26'!$B$26:$B$32</c:f>
              <c:numCache>
                <c:formatCode>_(* #,##0_);_(* \(#,##0\);_(* "-"??_);_(@_)</c:formatCode>
                <c:ptCount val="7"/>
                <c:pt idx="0">
                  <c:v>-11247</c:v>
                </c:pt>
                <c:pt idx="1">
                  <c:v>12502</c:v>
                </c:pt>
                <c:pt idx="2">
                  <c:v>150317</c:v>
                </c:pt>
                <c:pt idx="3">
                  <c:v>44062</c:v>
                </c:pt>
                <c:pt idx="4">
                  <c:v>15007</c:v>
                </c:pt>
                <c:pt idx="5" formatCode="_-* #,##0_-;\-* #,##0_-;_-* &quot;-&quot;??_-;_-@_-">
                  <c:v>8921</c:v>
                </c:pt>
                <c:pt idx="6">
                  <c:v>38279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F-4E6E-9E6B-E2EBD306DC0F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Feb26'!$A$26:$A$32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Feb26'!$C$26:$C$32</c:f>
              <c:numCache>
                <c:formatCode>_-* #,##0_-;\-* #,##0_-;_-* "-"??_-;_-@_-</c:formatCode>
                <c:ptCount val="7"/>
                <c:pt idx="0">
                  <c:v>-52424</c:v>
                </c:pt>
                <c:pt idx="1">
                  <c:v>38905</c:v>
                </c:pt>
                <c:pt idx="2">
                  <c:v>214.14699999999999</c:v>
                </c:pt>
                <c:pt idx="3">
                  <c:v>51.243000000000002</c:v>
                </c:pt>
                <c:pt idx="4">
                  <c:v>8825</c:v>
                </c:pt>
                <c:pt idx="5">
                  <c:v>18.169</c:v>
                </c:pt>
                <c:pt idx="6">
                  <c:v>8320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F-4E6E-9E6B-E2EBD306DC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150000"/>
          <c:min val="-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47-4828-A2B1-AB824B089653}"/>
                </c:ext>
              </c:extLst>
            </c:dLbl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Feb26'!$A$37:$A$43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Feb26'!$B$37:$B$43</c:f>
              <c:numCache>
                <c:formatCode>_(* #,##0_);_(* \(#,##0\);_(* "-"??_);_(@_)</c:formatCode>
                <c:ptCount val="7"/>
                <c:pt idx="0">
                  <c:v>2755484</c:v>
                </c:pt>
                <c:pt idx="1">
                  <c:v>1604791</c:v>
                </c:pt>
                <c:pt idx="2">
                  <c:v>-1925864</c:v>
                </c:pt>
                <c:pt idx="3">
                  <c:v>1729994</c:v>
                </c:pt>
                <c:pt idx="4">
                  <c:v>897195</c:v>
                </c:pt>
                <c:pt idx="5">
                  <c:v>1186259</c:v>
                </c:pt>
                <c:pt idx="6">
                  <c:v>915859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47-4828-A2B1-AB824B089653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Feb26'!$A$37:$A$43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Feb26'!$C$37:$C$43</c:f>
              <c:numCache>
                <c:formatCode>_(* #,##0_);_(* \(#,##0\);_(* "-"??_);_(@_)</c:formatCode>
                <c:ptCount val="7"/>
                <c:pt idx="0">
                  <c:v>2493244</c:v>
                </c:pt>
                <c:pt idx="1">
                  <c:v>1541256</c:v>
                </c:pt>
                <c:pt idx="2">
                  <c:v>-1086672</c:v>
                </c:pt>
                <c:pt idx="3">
                  <c:v>1583183</c:v>
                </c:pt>
                <c:pt idx="4">
                  <c:v>780028</c:v>
                </c:pt>
                <c:pt idx="5">
                  <c:v>985707</c:v>
                </c:pt>
                <c:pt idx="6">
                  <c:v>337070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47-4828-A2B1-AB824B089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3000000"/>
          <c:min val="-2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 Bersih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Feb26'!$A$48:$A$54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Feb26'!$B$48:$B$54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DF25-4C90-8E42-6EE2F467B2E9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50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Feb26'!$A$48:$A$54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Feb26'!$C$48:$C$54</c:f>
              <c:numCache>
                <c:formatCode>_-* #,##0_-;\-* #,##0_-;_-* "-"??_-;_-@_-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F25-4C90-8E42-6EE2F467B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12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RBC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Feb26'!$A$59:$A$67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8 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Feb26'!$B$59:$B$67</c:f>
              <c:numCache>
                <c:formatCode>0.00%</c:formatCode>
                <c:ptCount val="9"/>
                <c:pt idx="0">
                  <c:v>1.3063</c:v>
                </c:pt>
                <c:pt idx="1">
                  <c:v>1.7424999999999999</c:v>
                </c:pt>
                <c:pt idx="2">
                  <c:v>-1.6922999999999999</c:v>
                </c:pt>
                <c:pt idx="3" formatCode="0%">
                  <c:v>1.87</c:v>
                </c:pt>
                <c:pt idx="4">
                  <c:v>11.2179</c:v>
                </c:pt>
                <c:pt idx="5">
                  <c:v>3.0838000000000001</c:v>
                </c:pt>
                <c:pt idx="6">
                  <c:v>4.0777000000000001</c:v>
                </c:pt>
                <c:pt idx="7">
                  <c:v>7.0846999999999998</c:v>
                </c:pt>
                <c:pt idx="8">
                  <c:v>3.0865571428571426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E-49A3-9146-D2A5EB9C45DD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Feb26'!$A$59:$A$67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8 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Feb26'!$C$59:$C$67</c:f>
              <c:numCache>
                <c:formatCode>0.00%</c:formatCode>
                <c:ptCount val="9"/>
                <c:pt idx="0">
                  <c:v>1.298</c:v>
                </c:pt>
                <c:pt idx="1">
                  <c:v>2.4085000000000001</c:v>
                </c:pt>
                <c:pt idx="2">
                  <c:v>-0.876</c:v>
                </c:pt>
                <c:pt idx="3" formatCode="0%">
                  <c:v>1.8</c:v>
                </c:pt>
                <c:pt idx="4">
                  <c:v>12.4259</c:v>
                </c:pt>
                <c:pt idx="5">
                  <c:v>2.9068000000000001</c:v>
                </c:pt>
                <c:pt idx="6">
                  <c:v>2.7913999999999999</c:v>
                </c:pt>
                <c:pt idx="8">
                  <c:v>3.2506571428571429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FE-49A3-9146-D2A5EB9C45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Feb26'!$A$70:$A$78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8 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Feb26'!$B$70:$B$78</c:f>
              <c:numCache>
                <c:formatCode>0.00%</c:formatCode>
                <c:ptCount val="9"/>
                <c:pt idx="0">
                  <c:v>1.1974</c:v>
                </c:pt>
                <c:pt idx="1">
                  <c:v>1.3091999999999999</c:v>
                </c:pt>
                <c:pt idx="2">
                  <c:v>0.90400000000000003</c:v>
                </c:pt>
                <c:pt idx="3" formatCode="0%">
                  <c:v>1.85</c:v>
                </c:pt>
                <c:pt idx="4">
                  <c:v>3.2376</c:v>
                </c:pt>
                <c:pt idx="5">
                  <c:v>1.5858000000000001</c:v>
                </c:pt>
                <c:pt idx="6">
                  <c:v>1.5741000000000001</c:v>
                </c:pt>
                <c:pt idx="7">
                  <c:v>3.8342000000000001</c:v>
                </c:pt>
                <c:pt idx="8">
                  <c:v>1.6654428571428572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8-4993-A7C5-156C5E6A6DBC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Feb26'!$A$70:$A$78</c:f>
              <c:strCache>
                <c:ptCount val="9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  <c:pt idx="7">
                  <c:v>8 PT Orion Reasuransi Indonesia</c:v>
                </c:pt>
                <c:pt idx="8">
                  <c:v>Rata-Rata</c:v>
                </c:pt>
              </c:strCache>
            </c:strRef>
          </c:cat>
          <c:val>
            <c:numRef>
              <c:f>'MU Feb26'!$C$70:$C$78</c:f>
              <c:numCache>
                <c:formatCode>0.00%</c:formatCode>
                <c:ptCount val="9"/>
                <c:pt idx="0">
                  <c:v>1.3275999999999999</c:v>
                </c:pt>
                <c:pt idx="1">
                  <c:v>1.3347</c:v>
                </c:pt>
                <c:pt idx="2">
                  <c:v>1.073</c:v>
                </c:pt>
                <c:pt idx="3" formatCode="0%">
                  <c:v>1.95</c:v>
                </c:pt>
                <c:pt idx="4">
                  <c:v>3.6821000000000002</c:v>
                </c:pt>
                <c:pt idx="5">
                  <c:v>1.5203</c:v>
                </c:pt>
                <c:pt idx="6">
                  <c:v>1.4772000000000001</c:v>
                </c:pt>
                <c:pt idx="8">
                  <c:v>1.7664142857142857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8-4993-A7C5-156C5E6A6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Aset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2949781835"/>
          <c:y val="0.19766483732019474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Feb26'!$B$2</c:f>
              <c:strCache>
                <c:ptCount val="1"/>
                <c:pt idx="0">
                  <c:v>Februari 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Feb26'!$A$82:$A$88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Feb26'!$B$82:$B$88</c:f>
              <c:numCache>
                <c:formatCode>_(* #,##0_);_(* \(#,##0\);_(* "-"??_);_(@_)</c:formatCode>
                <c:ptCount val="7"/>
                <c:pt idx="0">
                  <c:v>12972004</c:v>
                </c:pt>
                <c:pt idx="1">
                  <c:v>5622306</c:v>
                </c:pt>
                <c:pt idx="2">
                  <c:v>6429215</c:v>
                </c:pt>
                <c:pt idx="3">
                  <c:v>7230344</c:v>
                </c:pt>
                <c:pt idx="4">
                  <c:v>1219165</c:v>
                </c:pt>
                <c:pt idx="5" formatCode="_-* #,##0_-;\-* #,##0_-;_-* &quot;-&quot;??_-;_-@_-">
                  <c:v>4561072</c:v>
                </c:pt>
                <c:pt idx="6">
                  <c:v>2086949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6-4996-AE7E-1BABC834DDFB}"/>
            </c:ext>
          </c:extLst>
        </c:ser>
        <c:ser>
          <c:idx val="1"/>
          <c:order val="1"/>
          <c:tx>
            <c:strRef>
              <c:f>'MU Feb26'!$C$2</c:f>
              <c:strCache>
                <c:ptCount val="1"/>
                <c:pt idx="0">
                  <c:v>Februari 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Feb26'!$A$82:$A$88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Feb26'!$C$82:$C$88</c:f>
              <c:numCache>
                <c:formatCode>#,##0</c:formatCode>
                <c:ptCount val="7"/>
                <c:pt idx="0">
                  <c:v>13588443</c:v>
                </c:pt>
                <c:pt idx="1">
                  <c:v>5165855</c:v>
                </c:pt>
                <c:pt idx="2">
                  <c:v>8302032</c:v>
                </c:pt>
                <c:pt idx="3">
                  <c:v>6233954</c:v>
                </c:pt>
                <c:pt idx="4">
                  <c:v>1051638</c:v>
                </c:pt>
                <c:pt idx="5">
                  <c:v>4512610</c:v>
                </c:pt>
                <c:pt idx="6">
                  <c:v>952194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6-4996-AE7E-1BABC834D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10 Besar Aset Asuransi Umum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899557405357177"/>
          <c:y val="0.13578491149164532"/>
          <c:w val="0.71494960260401419"/>
          <c:h val="0.7951079725403169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4A4-4E45-973D-1E507E4F7B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C4A4-4E45-973D-1E507E4F7B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C4A4-4E45-973D-1E507E4F7B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C4A4-4E45-973D-1E507E4F7B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C4A4-4E45-973D-1E507E4F7B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C4A4-4E45-973D-1E507E4F7B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C4A4-4E45-973D-1E507E4F7B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C4A4-4E45-973D-1E507E4F7B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C4A4-4E45-973D-1E507E4F7B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C4A4-4E45-973D-1E507E4F7B9F}"/>
              </c:ext>
            </c:extLst>
          </c:dPt>
          <c:dLbls>
            <c:dLbl>
              <c:idx val="5"/>
              <c:layout>
                <c:manualLayout>
                  <c:x val="0"/>
                  <c:y val="1.2003020602665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A4-4E45-973D-1E507E4F7B9F}"/>
                </c:ext>
              </c:extLst>
            </c:dLbl>
            <c:dLbl>
              <c:idx val="6"/>
              <c:layout>
                <c:manualLayout>
                  <c:x val="0"/>
                  <c:y val="4.4011075543105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A4-4E45-973D-1E507E4F7B9F}"/>
                </c:ext>
              </c:extLst>
            </c:dLbl>
            <c:dLbl>
              <c:idx val="8"/>
              <c:layout>
                <c:manualLayout>
                  <c:x val="0"/>
                  <c:y val="1.60040274702199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4A4-4E45-973D-1E507E4F7B9F}"/>
                </c:ext>
              </c:extLst>
            </c:dLbl>
            <c:spPr>
              <a:solidFill>
                <a:srgbClr val="002060">
                  <a:alpha val="57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Feb26'!$H$4:$H$13</c:f>
              <c:strCache>
                <c:ptCount val="10"/>
                <c:pt idx="0">
                  <c:v>PT Asuransi Astra Buana</c:v>
                </c:pt>
                <c:pt idx="1">
                  <c:v>PT Asuransi Tugu Pratama Indonesia Tbk.</c:v>
                </c:pt>
                <c:pt idx="2">
                  <c:v>PT Asuransi Kredit Indonesia</c:v>
                </c:pt>
                <c:pt idx="3">
                  <c:v>PT Asuransi Central Asia</c:v>
                </c:pt>
                <c:pt idx="4">
                  <c:v>PT Asuransi Kerugian Jasa Raharja</c:v>
                </c:pt>
                <c:pt idx="5">
                  <c:v>PT Asuransi Jasa Indonesia</c:v>
                </c:pt>
                <c:pt idx="6">
                  <c:v>PT Asuransi Sinar Mas</c:v>
                </c:pt>
                <c:pt idx="7">
                  <c:v>PT Zurich Asuransi Indonesia Tbk.</c:v>
                </c:pt>
                <c:pt idx="8">
                  <c:v>PT BRI Asuransi Indonesia</c:v>
                </c:pt>
                <c:pt idx="9">
                  <c:v>PT Asuransi Multi Artha Guna Tbk.</c:v>
                </c:pt>
              </c:strCache>
            </c:strRef>
          </c:cat>
          <c:val>
            <c:numRef>
              <c:f>'MU Feb26'!$I$4:$I$13</c:f>
              <c:numCache>
                <c:formatCode>_(* #,##0_);_(* \(#,##0\);_(* "-"??_);_(@_)</c:formatCode>
                <c:ptCount val="10"/>
                <c:pt idx="0">
                  <c:v>23113584</c:v>
                </c:pt>
                <c:pt idx="1">
                  <c:v>20188868</c:v>
                </c:pt>
                <c:pt idx="2">
                  <c:v>18822819</c:v>
                </c:pt>
                <c:pt idx="3">
                  <c:v>17879380</c:v>
                </c:pt>
                <c:pt idx="4">
                  <c:v>16657218</c:v>
                </c:pt>
                <c:pt idx="5">
                  <c:v>15519841</c:v>
                </c:pt>
                <c:pt idx="6">
                  <c:v>15482815</c:v>
                </c:pt>
                <c:pt idx="7">
                  <c:v>9964790</c:v>
                </c:pt>
                <c:pt idx="8">
                  <c:v>9211281</c:v>
                </c:pt>
                <c:pt idx="9">
                  <c:v>5930244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4A4-4E45-973D-1E507E4F7B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616065840"/>
        <c:axId val="616051440"/>
        <c:axId val="0"/>
      </c:bar3DChart>
      <c:catAx>
        <c:axId val="61606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rgbClr val="FF0000"/>
                    </a:solidFill>
                  </a:rPr>
                  <a:t>Total</a:t>
                </a:r>
                <a:r>
                  <a:rPr lang="en-US" sz="900" baseline="0">
                    <a:solidFill>
                      <a:srgbClr val="FF0000"/>
                    </a:solidFill>
                  </a:rPr>
                  <a:t> = Rp</a:t>
                </a:r>
                <a:r>
                  <a:rPr lang="id-ID" sz="900" b="0" i="0" u="none" strike="noStrike" baseline="0">
                    <a:solidFill>
                      <a:srgbClr val="FF0000"/>
                    </a:solidFill>
                    <a:effectLst/>
                  </a:rPr>
                  <a:t>2</a:t>
                </a:r>
                <a:r>
                  <a:rPr lang="en-US" sz="900" b="0" i="0" u="none" strike="noStrike" baseline="0">
                    <a:solidFill>
                      <a:srgbClr val="FF0000"/>
                    </a:solidFill>
                    <a:effectLst/>
                  </a:rPr>
                  <a:t>49,2 Triliun</a:t>
                </a:r>
                <a:endParaRPr lang="id-ID" sz="900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3497756533197064"/>
              <c:y val="0.91418419603039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51440"/>
        <c:crosses val="autoZero"/>
        <c:auto val="1"/>
        <c:lblAlgn val="ctr"/>
        <c:lblOffset val="100"/>
        <c:noMultiLvlLbl val="0"/>
      </c:catAx>
      <c:valAx>
        <c:axId val="61605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dalam juta rupiah</a:t>
                </a:r>
                <a:endParaRPr lang="id-ID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 Besar Ekuitas Asuransi Umum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310711934088242"/>
          <c:y val="0.13586792077667215"/>
          <c:w val="0.71876037194445541"/>
          <c:h val="0.7949827160554815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Feb26'!$H$18:$H$27</c:f>
              <c:strCache>
                <c:ptCount val="10"/>
                <c:pt idx="0">
                  <c:v>PT Asuransi Kerugian Jasa Raharja</c:v>
                </c:pt>
                <c:pt idx="1">
                  <c:v>PT Asuransi Astra Buana</c:v>
                </c:pt>
                <c:pt idx="2">
                  <c:v>PT Asuransi Central Asia</c:v>
                </c:pt>
                <c:pt idx="3">
                  <c:v>PT Asuransi Sinar Mas</c:v>
                </c:pt>
                <c:pt idx="4">
                  <c:v>PT Asuransi Tugu Pratama Indonesia Tbk.</c:v>
                </c:pt>
                <c:pt idx="5">
                  <c:v>PT Zurich Asuransi Indonesia Tbk.</c:v>
                </c:pt>
                <c:pt idx="6">
                  <c:v>PT Asuransi Kredit Indonesia</c:v>
                </c:pt>
                <c:pt idx="7">
                  <c:v>PT Asuransi Jasa Indonesia</c:v>
                </c:pt>
                <c:pt idx="8">
                  <c:v>PT BRI Asuransi Indonesia</c:v>
                </c:pt>
                <c:pt idx="9">
                  <c:v>PT Asuransi Multi Artha Guna Tbk.</c:v>
                </c:pt>
              </c:strCache>
            </c:strRef>
          </c:cat>
          <c:val>
            <c:numRef>
              <c:f>'MU Feb26'!$I$18:$I$27</c:f>
              <c:numCache>
                <c:formatCode>_(* #,##0_);_(* \(#,##0\);_(* "-"??_);_(@_)</c:formatCode>
                <c:ptCount val="10"/>
                <c:pt idx="0">
                  <c:v>12684265</c:v>
                </c:pt>
                <c:pt idx="1">
                  <c:v>9440328</c:v>
                </c:pt>
                <c:pt idx="2">
                  <c:v>9153872.6199999992</c:v>
                </c:pt>
                <c:pt idx="3">
                  <c:v>7122831</c:v>
                </c:pt>
                <c:pt idx="4">
                  <c:v>6302802</c:v>
                </c:pt>
                <c:pt idx="5">
                  <c:v>4395313</c:v>
                </c:pt>
                <c:pt idx="6">
                  <c:v>4329177</c:v>
                </c:pt>
                <c:pt idx="7">
                  <c:v>3275254</c:v>
                </c:pt>
                <c:pt idx="8">
                  <c:v>3052773</c:v>
                </c:pt>
                <c:pt idx="9">
                  <c:v>2168088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2-4EC6-BDD0-C4557BB6F8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Total = Rp91.774</a:t>
                </a:r>
                <a:r>
                  <a:rPr lang="en-US" baseline="0">
                    <a:solidFill>
                      <a:srgbClr val="FF0000"/>
                    </a:solidFill>
                  </a:rPr>
                  <a:t> Triliun</a:t>
                </a:r>
                <a:endParaRPr lang="id-ID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0384810946028089"/>
              <c:y val="0.91197603117930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581451034314016"/>
          <c:y val="0.13586777481220508"/>
          <c:w val="0.76424572747326125"/>
          <c:h val="0.7949827160554815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Feb26'!$H$32:$H$41</c:f>
              <c:strCache>
                <c:ptCount val="10"/>
                <c:pt idx="0">
                  <c:v>PT Asuransi Sinar Mas</c:v>
                </c:pt>
                <c:pt idx="1">
                  <c:v>PT Asuransi Astra Buana</c:v>
                </c:pt>
                <c:pt idx="2">
                  <c:v>PT Lippo General Insurance Tbk.</c:v>
                </c:pt>
                <c:pt idx="3">
                  <c:v>PT MNC Asuransi Indonesia</c:v>
                </c:pt>
                <c:pt idx="4">
                  <c:v>1 PT Zurich Asuransi Indonesia Tbk.</c:v>
                </c:pt>
                <c:pt idx="5">
                  <c:v>14 PT Asuransi Central Asia</c:v>
                </c:pt>
                <c:pt idx="6">
                  <c:v>24 PT Asuransi Kredit Indonesia</c:v>
                </c:pt>
                <c:pt idx="7">
                  <c:v>11 PT BRI Asuransi Indonesia</c:v>
                </c:pt>
                <c:pt idx="8">
                  <c:v>4 PT Asuransi Tugu Pratama Indonesia Tbk.</c:v>
                </c:pt>
                <c:pt idx="9">
                  <c:v>3 PT Asuransi Multi Artha Guna Tbk.</c:v>
                </c:pt>
              </c:strCache>
            </c:strRef>
          </c:cat>
          <c:val>
            <c:numRef>
              <c:f>'MU Feb26'!$I$32:$I$41</c:f>
              <c:numCache>
                <c:formatCode>_(* #,##0_);_(* \(#,##0\);_(* "-"??_);_(@_)</c:formatCode>
                <c:ptCount val="10"/>
                <c:pt idx="0">
                  <c:v>3355643</c:v>
                </c:pt>
                <c:pt idx="1">
                  <c:v>2358190</c:v>
                </c:pt>
                <c:pt idx="2">
                  <c:v>1042325</c:v>
                </c:pt>
                <c:pt idx="3">
                  <c:v>835210</c:v>
                </c:pt>
                <c:pt idx="4">
                  <c:v>781383</c:v>
                </c:pt>
                <c:pt idx="5">
                  <c:v>776609.26</c:v>
                </c:pt>
                <c:pt idx="6">
                  <c:v>740222</c:v>
                </c:pt>
                <c:pt idx="7">
                  <c:v>728785</c:v>
                </c:pt>
                <c:pt idx="8">
                  <c:v>653626</c:v>
                </c:pt>
                <c:pt idx="9">
                  <c:v>534417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D-4362-BB6B-DECDCC3A46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FF0000"/>
                    </a:solidFill>
                  </a:rPr>
                  <a:t>Total = Rp11.986 Triliun</a:t>
                </a:r>
              </a:p>
            </c:rich>
          </c:tx>
          <c:layout>
            <c:manualLayout>
              <c:xMode val="edge"/>
              <c:yMode val="edge"/>
              <c:x val="6.736072754757165E-2"/>
              <c:y val="0.92392186182902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Hasil Underwriting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744205746797575"/>
          <c:y val="0.13586792077667215"/>
          <c:w val="0.76442551659314995"/>
          <c:h val="0.7949827160554815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Feb26'!$H$46:$H$55</c:f>
              <c:strCache>
                <c:ptCount val="10"/>
                <c:pt idx="0">
                  <c:v>PT Asuransi Sinar Mas</c:v>
                </c:pt>
                <c:pt idx="1">
                  <c:v>24 PT Asuransi Kredit Indonesia</c:v>
                </c:pt>
                <c:pt idx="2">
                  <c:v>PT BRI Asuransi Indonesia</c:v>
                </c:pt>
                <c:pt idx="3">
                  <c:v>PT Asuransi Astra Buana</c:v>
                </c:pt>
                <c:pt idx="4">
                  <c:v>14 PT Asuransi Central Asia</c:v>
                </c:pt>
                <c:pt idx="5">
                  <c:v>1 PT Zurich Asuransi Indonesia Tbk.</c:v>
                </c:pt>
                <c:pt idx="6">
                  <c:v>4 PT Asuransi Tugu Pratama Indonesia Tbk.</c:v>
                </c:pt>
                <c:pt idx="7">
                  <c:v>28 PT Asuransi Umum Seainsure</c:v>
                </c:pt>
                <c:pt idx="8">
                  <c:v>14 PT Asuransi MSIG Indonesia</c:v>
                </c:pt>
                <c:pt idx="9">
                  <c:v>15 PT Asuransi Umum BCA</c:v>
                </c:pt>
              </c:strCache>
            </c:strRef>
          </c:cat>
          <c:val>
            <c:numRef>
              <c:f>'MU Feb26'!$I$46:$I$55</c:f>
              <c:numCache>
                <c:formatCode>_(* #,##0_);_(* \(#,##0\);_(* "-"??_);_(@_)</c:formatCode>
                <c:ptCount val="10"/>
                <c:pt idx="0">
                  <c:v>309594</c:v>
                </c:pt>
                <c:pt idx="1">
                  <c:v>217199</c:v>
                </c:pt>
                <c:pt idx="2">
                  <c:v>210330</c:v>
                </c:pt>
                <c:pt idx="3">
                  <c:v>162821</c:v>
                </c:pt>
                <c:pt idx="4">
                  <c:v>161292.54</c:v>
                </c:pt>
                <c:pt idx="5">
                  <c:v>151433</c:v>
                </c:pt>
                <c:pt idx="6">
                  <c:v>137125</c:v>
                </c:pt>
                <c:pt idx="7">
                  <c:v>110921</c:v>
                </c:pt>
                <c:pt idx="8">
                  <c:v>110201</c:v>
                </c:pt>
                <c:pt idx="9">
                  <c:v>110157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D-44FB-B5DD-70569CFC5D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7032143"/>
        <c:axId val="1227015823"/>
        <c:axId val="0"/>
      </c:bar3DChart>
      <c:catAx>
        <c:axId val="122703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FF0000"/>
                    </a:solidFill>
                  </a:rPr>
                  <a:t>Total = Rp1.774 Triliun </a:t>
                </a:r>
                <a:endParaRPr lang="id-ID" sz="1000" b="0" i="0" u="none" strike="noStrike" kern="1200" baseline="0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7.4313066388409912E-2"/>
              <c:y val="0.91488242697475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Solvabilitas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Feb26'!$H$59:$H$69</c:f>
              <c:strCache>
                <c:ptCount val="11"/>
                <c:pt idx="0">
                  <c:v>Rata-Rata</c:v>
                </c:pt>
                <c:pt idx="1">
                  <c:v>PT Victoria Insurance Tbk.</c:v>
                </c:pt>
                <c:pt idx="2">
                  <c:v>34 PT Asuransi Digital Bersama Tbk.</c:v>
                </c:pt>
                <c:pt idx="3">
                  <c:v>PT Asuransi Kerugian Jasa Raharja</c:v>
                </c:pt>
                <c:pt idx="4">
                  <c:v>PT Asuransi Sumit Oto</c:v>
                </c:pt>
                <c:pt idx="5">
                  <c:v>19 PT Asuransi Bina Dana Arta Tbk.</c:v>
                </c:pt>
                <c:pt idx="6">
                  <c:v>8 PT AIG Insurance Indonesia</c:v>
                </c:pt>
                <c:pt idx="7">
                  <c:v>6 PT Chubb General Insurance Indonesia</c:v>
                </c:pt>
                <c:pt idx="8">
                  <c:v>7 PT Asuransi Allianz Utama Indonesia</c:v>
                </c:pt>
                <c:pt idx="9">
                  <c:v>10 PT Meritz Korindo Insurance</c:v>
                </c:pt>
                <c:pt idx="10">
                  <c:v>23 PT Asuransi Jasa Tania Tbk.</c:v>
                </c:pt>
              </c:strCache>
            </c:strRef>
          </c:cat>
          <c:val>
            <c:numRef>
              <c:f>'MU Feb26'!$I$59:$I$69</c:f>
              <c:numCache>
                <c:formatCode>0%</c:formatCode>
                <c:ptCount val="11"/>
                <c:pt idx="0">
                  <c:v>3.6469723076923</c:v>
                </c:pt>
                <c:pt idx="1">
                  <c:v>23.96</c:v>
                </c:pt>
                <c:pt idx="2">
                  <c:v>8.77</c:v>
                </c:pt>
                <c:pt idx="3" formatCode="0.00%">
                  <c:v>8.1655999999999995</c:v>
                </c:pt>
                <c:pt idx="4">
                  <c:v>7.99</c:v>
                </c:pt>
                <c:pt idx="5" formatCode="0.00%">
                  <c:v>7.0111999999999997</c:v>
                </c:pt>
                <c:pt idx="6">
                  <c:v>6.58</c:v>
                </c:pt>
                <c:pt idx="7">
                  <c:v>6.35</c:v>
                </c:pt>
                <c:pt idx="8" formatCode="0.00%">
                  <c:v>5.9429999999999996</c:v>
                </c:pt>
                <c:pt idx="9" formatCode="0.00%">
                  <c:v>5.8383000000000003</c:v>
                </c:pt>
                <c:pt idx="10" formatCode="0.00%">
                  <c:v>5.5467000000000004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A-48D0-BFA6-9885E8007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72389901336743"/>
          <c:y val="0.13586792077667215"/>
          <c:w val="0.42114364001881727"/>
          <c:h val="0.794982716055481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Feb26'!$H$73:$H$83</c:f>
              <c:strCache>
                <c:ptCount val="11"/>
                <c:pt idx="0">
                  <c:v>Rata-Rata</c:v>
                </c:pt>
                <c:pt idx="1">
                  <c:v>PT Victoria Insurance Tbk.</c:v>
                </c:pt>
                <c:pt idx="2">
                  <c:v>PT Asuransi Kerugian Jasa Raharja</c:v>
                </c:pt>
                <c:pt idx="3">
                  <c:v>PT Asuransi Tugu Pratama Indonesia Tbk.</c:v>
                </c:pt>
                <c:pt idx="4">
                  <c:v>16 PT Citra International Underwriters</c:v>
                </c:pt>
                <c:pt idx="5">
                  <c:v>7 PT Asuransi Allianz Utama Indonesia</c:v>
                </c:pt>
                <c:pt idx="6">
                  <c:v>19 PT Asuransi Bina Dana Arta Tbk.</c:v>
                </c:pt>
                <c:pt idx="7">
                  <c:v>48 PT Asuransi Sahabat Artha Proteksi</c:v>
                </c:pt>
                <c:pt idx="8">
                  <c:v>34 PT Asuransi Digital Bersama Tbk.</c:v>
                </c:pt>
                <c:pt idx="9">
                  <c:v>PT Chubb General Insurance Indonesia</c:v>
                </c:pt>
                <c:pt idx="10">
                  <c:v>8 PT Asuransi Binagriya Upakara</c:v>
                </c:pt>
              </c:strCache>
            </c:strRef>
          </c:cat>
          <c:val>
            <c:numRef>
              <c:f>'MU Feb26'!$I$73:$I$83</c:f>
              <c:numCache>
                <c:formatCode>0%</c:formatCode>
                <c:ptCount val="11"/>
                <c:pt idx="0">
                  <c:v>1.6256999999999999</c:v>
                </c:pt>
                <c:pt idx="1">
                  <c:v>3.85</c:v>
                </c:pt>
                <c:pt idx="2" formatCode="0.00%">
                  <c:v>3.1078000000000001</c:v>
                </c:pt>
                <c:pt idx="3" formatCode="0.00%">
                  <c:v>2.4740000000000002</c:v>
                </c:pt>
                <c:pt idx="4">
                  <c:v>2.4500000000000002</c:v>
                </c:pt>
                <c:pt idx="5">
                  <c:v>2.1800000000000002</c:v>
                </c:pt>
                <c:pt idx="6" formatCode="0.00%">
                  <c:v>2.0922999999999998</c:v>
                </c:pt>
                <c:pt idx="7" formatCode="0.00%">
                  <c:v>2.0747</c:v>
                </c:pt>
                <c:pt idx="8" formatCode="0.00%">
                  <c:v>2.0726</c:v>
                </c:pt>
                <c:pt idx="9">
                  <c:v>2.04</c:v>
                </c:pt>
                <c:pt idx="10" formatCode="0.00%">
                  <c:v>2.0316999999999998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C-4CEA-8970-27AECCC423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7032143"/>
        <c:axId val="1227015823"/>
      </c:barChart>
      <c:catAx>
        <c:axId val="1227032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15823"/>
        <c:crosses val="autoZero"/>
        <c:auto val="1"/>
        <c:lblAlgn val="ctr"/>
        <c:lblOffset val="100"/>
        <c:noMultiLvlLbl val="0"/>
      </c:catAx>
      <c:valAx>
        <c:axId val="122701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3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 Besar Aset Asuransi</a:t>
            </a:r>
            <a:r>
              <a:rPr lang="en-US" sz="1200" baseline="0"/>
              <a:t> Jiwa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-5.9387906472753683E-17"/>
                  <c:y val="1.985303543011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6A-4CBC-BC3A-7E375E21052F}"/>
                </c:ext>
              </c:extLst>
            </c:dLbl>
            <c:dLbl>
              <c:idx val="2"/>
              <c:layout>
                <c:manualLayout>
                  <c:x val="0"/>
                  <c:y val="3.639723162187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6A-4CBC-BC3A-7E375E21052F}"/>
                </c:ext>
              </c:extLst>
            </c:dLbl>
            <c:dLbl>
              <c:idx val="3"/>
              <c:layout>
                <c:manualLayout>
                  <c:x val="0"/>
                  <c:y val="-2.977955314516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6A-4CBC-BC3A-7E375E21052F}"/>
                </c:ext>
              </c:extLst>
            </c:dLbl>
            <c:dLbl>
              <c:idx val="4"/>
              <c:layout>
                <c:manualLayout>
                  <c:x val="-5.9387906472753683E-17"/>
                  <c:y val="6.61767847670423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6A-4CBC-BC3A-7E375E21052F}"/>
                </c:ext>
              </c:extLst>
            </c:dLbl>
            <c:dLbl>
              <c:idx val="5"/>
              <c:layout>
                <c:manualLayout>
                  <c:x val="-1.1877581294550737E-16"/>
                  <c:y val="6.61767847670420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6A-4CBC-BC3A-7E375E21052F}"/>
                </c:ext>
              </c:extLst>
            </c:dLbl>
            <c:dLbl>
              <c:idx val="6"/>
              <c:layout>
                <c:manualLayout>
                  <c:x val="0"/>
                  <c:y val="-9.92651771505631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6A-4CBC-BC3A-7E375E21052F}"/>
                </c:ext>
              </c:extLst>
            </c:dLbl>
            <c:dLbl>
              <c:idx val="7"/>
              <c:layout>
                <c:manualLayout>
                  <c:x val="0"/>
                  <c:y val="2.316187466846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6A-4CBC-BC3A-7E375E21052F}"/>
                </c:ext>
              </c:extLst>
            </c:dLbl>
            <c:dLbl>
              <c:idx val="9"/>
              <c:layout>
                <c:manualLayout>
                  <c:x val="0"/>
                  <c:y val="4.6323749336929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6A-4CBC-BC3A-7E375E21052F}"/>
                </c:ext>
              </c:extLst>
            </c:dLbl>
            <c:dLbl>
              <c:idx val="10"/>
              <c:layout>
                <c:manualLayout>
                  <c:x val="0"/>
                  <c:y val="6.2867945528690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55-47F8-A72A-3B87133623C6}"/>
                </c:ext>
              </c:extLst>
            </c:dLbl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Feb26'!$M$4:$M$14</c:f>
              <c:strCache>
                <c:ptCount val="11"/>
                <c:pt idx="0">
                  <c:v> PT Asuransi Jiwa Manulife Indonesia </c:v>
                </c:pt>
                <c:pt idx="1">
                  <c:v> PT Indolife Pensiontama </c:v>
                </c:pt>
                <c:pt idx="2">
                  <c:v> PT Prudential Life Assurance </c:v>
                </c:pt>
                <c:pt idx="3">
                  <c:v> PT AXA Mandiri Financial Services </c:v>
                </c:pt>
                <c:pt idx="4">
                  <c:v> PT AIA Financial </c:v>
                </c:pt>
                <c:pt idx="5">
                  <c:v> PT Asuransi Allianz Life Indonesia </c:v>
                </c:pt>
                <c:pt idx="6">
                  <c:v> PT Asuransi Jiwa IFG </c:v>
                </c:pt>
                <c:pt idx="7">
                  <c:v> PT BNI Life Insurance </c:v>
                </c:pt>
                <c:pt idx="9">
                  <c:v> PT Asuransi BRI Life </c:v>
                </c:pt>
                <c:pt idx="10">
                  <c:v> PT Asuransi Jiwa Sequis Life </c:v>
                </c:pt>
              </c:strCache>
            </c:strRef>
          </c:cat>
          <c:val>
            <c:numRef>
              <c:f>'MU Feb26'!$N$4:$N$14</c:f>
              <c:numCache>
                <c:formatCode>_(* #,##0_);_(* \(#,##0\);_(* "-"??_);_(@_)</c:formatCode>
                <c:ptCount val="11"/>
                <c:pt idx="0">
                  <c:v>67581784</c:v>
                </c:pt>
                <c:pt idx="1">
                  <c:v>65633896</c:v>
                </c:pt>
                <c:pt idx="2">
                  <c:v>62215020</c:v>
                </c:pt>
                <c:pt idx="3">
                  <c:v>43944136</c:v>
                </c:pt>
                <c:pt idx="4">
                  <c:v>43177402</c:v>
                </c:pt>
                <c:pt idx="5">
                  <c:v>37890261</c:v>
                </c:pt>
                <c:pt idx="6">
                  <c:v>30028776.379999999</c:v>
                </c:pt>
                <c:pt idx="7">
                  <c:v>29688346</c:v>
                </c:pt>
                <c:pt idx="9">
                  <c:v>27519452</c:v>
                </c:pt>
                <c:pt idx="10">
                  <c:v>23131460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6A-4CBC-BC3A-7E375E210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</a:t>
                </a:r>
                <a:r>
                  <a:rPr lang="en-US" b="1" baseline="0">
                    <a:solidFill>
                      <a:srgbClr val="FF0000"/>
                    </a:solidFill>
                  </a:rPr>
                  <a:t> = Rp617,03 Triliun</a:t>
                </a:r>
                <a:endParaRPr lang="id-ID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6002164006380805E-2"/>
              <c:y val="0.89943994639159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Ekuitas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Feb26'!$M$18:$M$28</c:f>
              <c:strCache>
                <c:ptCount val="11"/>
                <c:pt idx="0">
                  <c:v> PT Indolife Pensiontama </c:v>
                </c:pt>
                <c:pt idx="1">
                  <c:v> PT Asuransi Jiwa Manulife Indonesia </c:v>
                </c:pt>
                <c:pt idx="2">
                  <c:v> PT Asuransi BRI Life </c:v>
                </c:pt>
                <c:pt idx="3">
                  <c:v> PT Asuransi Jiwa Sequis Life </c:v>
                </c:pt>
                <c:pt idx="4">
                  <c:v> PT AIA Financial </c:v>
                </c:pt>
                <c:pt idx="6">
                  <c:v> PT MSIG Life Insurance Indonesia Tbk. </c:v>
                </c:pt>
                <c:pt idx="7">
                  <c:v> PT Prudential Life Assurance </c:v>
                </c:pt>
                <c:pt idx="8">
                  <c:v> PT Sun Life Financial Indonesia </c:v>
                </c:pt>
                <c:pt idx="9">
                  <c:v> PT Asuransi Allianz Life Indonesia </c:v>
                </c:pt>
                <c:pt idx="10">
                  <c:v> PT BNI Life Insurance </c:v>
                </c:pt>
              </c:strCache>
            </c:strRef>
          </c:cat>
          <c:val>
            <c:numRef>
              <c:f>'MU Feb26'!$N$18:$N$28</c:f>
              <c:numCache>
                <c:formatCode>_(* #,##0_);_(* \(#,##0\);_(* "-"??_);_(@_)</c:formatCode>
                <c:ptCount val="11"/>
                <c:pt idx="0">
                  <c:v>20542695</c:v>
                </c:pt>
                <c:pt idx="1">
                  <c:v>16244253</c:v>
                </c:pt>
                <c:pt idx="2">
                  <c:v>11633501</c:v>
                </c:pt>
                <c:pt idx="3">
                  <c:v>9547104</c:v>
                </c:pt>
                <c:pt idx="4">
                  <c:v>8980958</c:v>
                </c:pt>
                <c:pt idx="6">
                  <c:v>7764902</c:v>
                </c:pt>
                <c:pt idx="7">
                  <c:v>7737193</c:v>
                </c:pt>
                <c:pt idx="8">
                  <c:v>7734754</c:v>
                </c:pt>
                <c:pt idx="9">
                  <c:v>7012069</c:v>
                </c:pt>
                <c:pt idx="10">
                  <c:v>6842973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2-412F-A7A0-9F97A54846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Rp147,2 Triliun</a:t>
                </a:r>
              </a:p>
            </c:rich>
          </c:tx>
          <c:layout>
            <c:manualLayout>
              <c:xMode val="edge"/>
              <c:yMode val="edge"/>
              <c:x val="0.12198855643827107"/>
              <c:y val="0.87463216650454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Pendapatan Premi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Feb26'!$M$32:$M$41</c:f>
              <c:strCache>
                <c:ptCount val="10"/>
                <c:pt idx="0">
                  <c:v> PT Prudential Life Assurance </c:v>
                </c:pt>
                <c:pt idx="1">
                  <c:v> PT Asuransi Allianz Life Indonesia </c:v>
                </c:pt>
                <c:pt idx="2">
                  <c:v> PT Indolife Pensiontama </c:v>
                </c:pt>
                <c:pt idx="3">
                  <c:v> PT BNI Life Insurance </c:v>
                </c:pt>
                <c:pt idx="4">
                  <c:v> PT Asuransi Jiwa Inhealth Indonesia </c:v>
                </c:pt>
                <c:pt idx="5">
                  <c:v> PT AIA Financial </c:v>
                </c:pt>
                <c:pt idx="6">
                  <c:v> PT Asuransi Jiwa Manulife Indonesia </c:v>
                </c:pt>
                <c:pt idx="7">
                  <c:v> PT AXA Mandiri Financial Services </c:v>
                </c:pt>
                <c:pt idx="8">
                  <c:v> PT Asuransi BRI Life </c:v>
                </c:pt>
                <c:pt idx="9">
                  <c:v> PT Asuransi Jiwa Astra </c:v>
                </c:pt>
              </c:strCache>
            </c:strRef>
          </c:cat>
          <c:val>
            <c:numRef>
              <c:f>'MU Feb26'!$N$32:$N$41</c:f>
              <c:numCache>
                <c:formatCode>_(* #,##0_);_(* \(#,##0\);_(* "-"??_);_(@_)</c:formatCode>
                <c:ptCount val="10"/>
                <c:pt idx="0">
                  <c:v>1868524</c:v>
                </c:pt>
                <c:pt idx="1">
                  <c:v>1603290</c:v>
                </c:pt>
                <c:pt idx="2">
                  <c:v>1201012</c:v>
                </c:pt>
                <c:pt idx="3">
                  <c:v>1158058</c:v>
                </c:pt>
                <c:pt idx="4">
                  <c:v>889819</c:v>
                </c:pt>
                <c:pt idx="5">
                  <c:v>853913</c:v>
                </c:pt>
                <c:pt idx="6">
                  <c:v>824494</c:v>
                </c:pt>
                <c:pt idx="7">
                  <c:v>807599</c:v>
                </c:pt>
                <c:pt idx="8">
                  <c:v>642520</c:v>
                </c:pt>
                <c:pt idx="9">
                  <c:v>619598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1-4347-9EAE-0F0933AFC0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</a:t>
                </a:r>
                <a:r>
                  <a:rPr lang="en-US" b="1" baseline="0">
                    <a:solidFill>
                      <a:srgbClr val="FF0000"/>
                    </a:solidFill>
                  </a:rPr>
                  <a:t> = Rp16,2 Triliun</a:t>
                </a:r>
                <a:endParaRPr lang="id-ID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1062075743011115"/>
              <c:y val="0.89326101975648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</a:t>
                </a:r>
                <a:r>
                  <a:rPr lang="en-US" baseline="0"/>
                  <a:t>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 Komprehensif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C00000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Feb26'!$M$46:$M$55</c:f>
              <c:strCache>
                <c:ptCount val="10"/>
                <c:pt idx="0">
                  <c:v> PT AIA Financial </c:v>
                </c:pt>
                <c:pt idx="1">
                  <c:v> PT Indolife Pensiontama </c:v>
                </c:pt>
                <c:pt idx="2">
                  <c:v> PT Prudential Life Assurance </c:v>
                </c:pt>
                <c:pt idx="3">
                  <c:v> PT AXA Mandiri Financial Services </c:v>
                </c:pt>
                <c:pt idx="4">
                  <c:v> PT Asuransi Allianz Life Indonesia </c:v>
                </c:pt>
                <c:pt idx="5">
                  <c:v> PT Asuransi Jiwa Central Asia Raya </c:v>
                </c:pt>
                <c:pt idx="6">
                  <c:v> PT Asuransi Jiwa Generali Indonesia </c:v>
                </c:pt>
                <c:pt idx="7">
                  <c:v> PT Asuransi Jiwa Inhealth Indonesia </c:v>
                </c:pt>
                <c:pt idx="8">
                  <c:v> PT Asuransi Jiwa BCA </c:v>
                </c:pt>
                <c:pt idx="9">
                  <c:v> PT Asuransi BRI Life </c:v>
                </c:pt>
              </c:strCache>
            </c:strRef>
          </c:cat>
          <c:val>
            <c:numRef>
              <c:f>'MU Feb26'!$N$46:$N$55</c:f>
              <c:numCache>
                <c:formatCode>_(* #,##0_);_(* \(#,##0\);_(* "-"??_);_(@_)</c:formatCode>
                <c:ptCount val="10"/>
                <c:pt idx="0">
                  <c:v>401972</c:v>
                </c:pt>
                <c:pt idx="1">
                  <c:v>144845</c:v>
                </c:pt>
                <c:pt idx="2">
                  <c:v>116009</c:v>
                </c:pt>
                <c:pt idx="3">
                  <c:v>106537</c:v>
                </c:pt>
                <c:pt idx="4">
                  <c:v>63060</c:v>
                </c:pt>
                <c:pt idx="5">
                  <c:v>60587</c:v>
                </c:pt>
                <c:pt idx="6">
                  <c:v>37479</c:v>
                </c:pt>
                <c:pt idx="7">
                  <c:v>19914</c:v>
                </c:pt>
                <c:pt idx="8">
                  <c:v>19796</c:v>
                </c:pt>
                <c:pt idx="9">
                  <c:v>19297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D-46FF-907D-B900D48510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shape val="box"/>
        <c:axId val="1223237840"/>
        <c:axId val="1223253200"/>
        <c:axId val="0"/>
      </c:bar3DChart>
      <c:catAx>
        <c:axId val="12232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FF0000"/>
                    </a:solidFill>
                  </a:rPr>
                  <a:t>Total = -Rp500,4</a:t>
                </a:r>
                <a:r>
                  <a:rPr lang="en-US" b="1" baseline="0">
                    <a:solidFill>
                      <a:srgbClr val="FF0000"/>
                    </a:solidFill>
                  </a:rPr>
                  <a:t> Miliar</a:t>
                </a:r>
                <a:endParaRPr lang="id-ID" b="1">
                  <a:solidFill>
                    <a:srgbClr val="FF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32220073630997E-2"/>
              <c:y val="0.89815387605664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dalam</a:t>
                </a:r>
                <a:r>
                  <a:rPr lang="en-US" baseline="0"/>
                  <a:t> juta rupiah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Solvabilitas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Feb26'!$M$59:$M$70</c:f>
              <c:strCache>
                <c:ptCount val="12"/>
                <c:pt idx="0">
                  <c:v>Rata-Rata</c:v>
                </c:pt>
                <c:pt idx="1">
                  <c:v>PT PFI Mega Life Insurance</c:v>
                </c:pt>
                <c:pt idx="2">
                  <c:v>PT Asuransi Jiwa Sealnsure</c:v>
                </c:pt>
                <c:pt idx="3">
                  <c:v>PT MSIG Life Insurance Indonesia Tbk.</c:v>
                </c:pt>
                <c:pt idx="4">
                  <c:v>PT Hanwha Life Insurance Indonesia</c:v>
                </c:pt>
                <c:pt idx="5">
                  <c:v>PT Panin Dai-Chi Life</c:v>
                </c:pt>
                <c:pt idx="6">
                  <c:v>PT Victoria Alife Indonesia</c:v>
                </c:pt>
                <c:pt idx="8">
                  <c:v>PT China Life Insurance Indonesia</c:v>
                </c:pt>
                <c:pt idx="9">
                  <c:v>PT Asuransi Jiwa Starinvestama</c:v>
                </c:pt>
                <c:pt idx="10">
                  <c:v>PT BNI Life Insurance</c:v>
                </c:pt>
                <c:pt idx="11">
                  <c:v>PT Central Asia Financial</c:v>
                </c:pt>
              </c:strCache>
            </c:strRef>
          </c:cat>
          <c:val>
            <c:numRef>
              <c:f>'MU Feb26'!$N$59:$N$70</c:f>
              <c:numCache>
                <c:formatCode>0.00%</c:formatCode>
                <c:ptCount val="12"/>
                <c:pt idx="0">
                  <c:v>5.6627000000000001</c:v>
                </c:pt>
                <c:pt idx="1">
                  <c:v>29.74</c:v>
                </c:pt>
                <c:pt idx="2">
                  <c:v>17.34</c:v>
                </c:pt>
                <c:pt idx="3">
                  <c:v>13.703900000000001</c:v>
                </c:pt>
                <c:pt idx="4">
                  <c:v>11.771000000000001</c:v>
                </c:pt>
                <c:pt idx="5">
                  <c:v>10.99</c:v>
                </c:pt>
                <c:pt idx="6">
                  <c:v>9</c:v>
                </c:pt>
                <c:pt idx="8">
                  <c:v>8.66</c:v>
                </c:pt>
                <c:pt idx="9">
                  <c:v>8.5672999999999995</c:v>
                </c:pt>
                <c:pt idx="10">
                  <c:v>8.3727</c:v>
                </c:pt>
                <c:pt idx="11">
                  <c:v>7.9726999999999997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7-4A1B-A13A-4AAC8C5A9F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Feb26'!$M$73:$M$83</c:f>
              <c:strCache>
                <c:ptCount val="11"/>
                <c:pt idx="0">
                  <c:v>Rata-Rata</c:v>
                </c:pt>
                <c:pt idx="1">
                  <c:v>PT PFI Mega Life Insurance</c:v>
                </c:pt>
                <c:pt idx="2">
                  <c:v>PT Hanwha Life Insurance Indonesia</c:v>
                </c:pt>
                <c:pt idx="3">
                  <c:v>PT Asuransi Jiwa Starinvestama</c:v>
                </c:pt>
                <c:pt idx="4">
                  <c:v>PT Asuransi Jiwa Nasional</c:v>
                </c:pt>
                <c:pt idx="5">
                  <c:v>PT Central Asia Financial</c:v>
                </c:pt>
                <c:pt idx="6">
                  <c:v>PT Perta Life Insurance</c:v>
                </c:pt>
                <c:pt idx="7">
                  <c:v>PT Victoria Alife Indonesia</c:v>
                </c:pt>
                <c:pt idx="8">
                  <c:v>PT MNC Life Assurance</c:v>
                </c:pt>
                <c:pt idx="9">
                  <c:v>PT Asuransi Jiwa Central Asia Raya</c:v>
                </c:pt>
                <c:pt idx="10">
                  <c:v>PT Bhinneka Life Indonesia</c:v>
                </c:pt>
              </c:strCache>
            </c:strRef>
          </c:cat>
          <c:val>
            <c:numRef>
              <c:f>'MU Feb26'!$N$73:$N$83</c:f>
              <c:numCache>
                <c:formatCode>0.00%</c:formatCode>
                <c:ptCount val="11"/>
                <c:pt idx="0">
                  <c:v>5.6627000000000001</c:v>
                </c:pt>
                <c:pt idx="1">
                  <c:v>7.79</c:v>
                </c:pt>
                <c:pt idx="2">
                  <c:v>7.4253999999999998</c:v>
                </c:pt>
                <c:pt idx="3">
                  <c:v>6.4760999999999997</c:v>
                </c:pt>
                <c:pt idx="4">
                  <c:v>5.1994999999999996</c:v>
                </c:pt>
                <c:pt idx="5">
                  <c:v>5.1079999999999997</c:v>
                </c:pt>
                <c:pt idx="6">
                  <c:v>4.4028999999999998</c:v>
                </c:pt>
                <c:pt idx="7">
                  <c:v>4.08</c:v>
                </c:pt>
                <c:pt idx="8">
                  <c:v>3.3689</c:v>
                </c:pt>
                <c:pt idx="9">
                  <c:v>3.22</c:v>
                </c:pt>
                <c:pt idx="10">
                  <c:v>2.9203000000000001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4-4555-904C-181BCCF33F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3237840"/>
        <c:axId val="1223253200"/>
      </c:barChart>
      <c:catAx>
        <c:axId val="122323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53200"/>
        <c:crosses val="autoZero"/>
        <c:auto val="1"/>
        <c:lblAlgn val="ctr"/>
        <c:lblOffset val="100"/>
        <c:noMultiLvlLbl val="0"/>
      </c:catAx>
      <c:valAx>
        <c:axId val="12232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2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Solvabilitas Asuransi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AB-4B9A-BCFA-107A8871E8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Feb26'!$F$106:$F$116</c:f>
              <c:strCache>
                <c:ptCount val="11"/>
                <c:pt idx="0">
                  <c:v>Rata-Rata</c:v>
                </c:pt>
                <c:pt idx="1">
                  <c:v>PT Asuransi Allianz Utama Indonesia</c:v>
                </c:pt>
                <c:pt idx="2">
                  <c:v>PT Meritz Korindo Insurance</c:v>
                </c:pt>
                <c:pt idx="3">
                  <c:v>PT Chubb General Insurance Indonesia</c:v>
                </c:pt>
                <c:pt idx="4">
                  <c:v>PT AIG Insurance Indonesia</c:v>
                </c:pt>
                <c:pt idx="5">
                  <c:v>PT Asuransi Bina Dana Arta Tbk.</c:v>
                </c:pt>
                <c:pt idx="6">
                  <c:v>PT Asuransi Staco Mandiri</c:v>
                </c:pt>
                <c:pt idx="7">
                  <c:v>PT Asuransi Digital Bersama Tbk.</c:v>
                </c:pt>
                <c:pt idx="8">
                  <c:v>PT Asuransi Sumit Oto</c:v>
                </c:pt>
                <c:pt idx="9">
                  <c:v>PT Asuransi Kerugian Jasa Raharja</c:v>
                </c:pt>
                <c:pt idx="10">
                  <c:v>PT Victoria Insurance Tbk.</c:v>
                </c:pt>
              </c:strCache>
            </c:strRef>
          </c:cat>
          <c:val>
            <c:numRef>
              <c:f>'MU Feb26'!$G$106:$G$116</c:f>
              <c:numCache>
                <c:formatCode>0.0%</c:formatCode>
                <c:ptCount val="11"/>
                <c:pt idx="0" formatCode="0%">
                  <c:v>3.6469723076923</c:v>
                </c:pt>
                <c:pt idx="1">
                  <c:v>5.9539999999999997</c:v>
                </c:pt>
                <c:pt idx="2" formatCode="0.00%">
                  <c:v>6.1885000000000003</c:v>
                </c:pt>
                <c:pt idx="3" formatCode="0%">
                  <c:v>6.32</c:v>
                </c:pt>
                <c:pt idx="4" formatCode="0%">
                  <c:v>6.54</c:v>
                </c:pt>
                <c:pt idx="5" formatCode="0.00%">
                  <c:v>6.6761999999999997</c:v>
                </c:pt>
                <c:pt idx="6" formatCode="0.00%">
                  <c:v>7.2218</c:v>
                </c:pt>
                <c:pt idx="7" formatCode="0%">
                  <c:v>7.73</c:v>
                </c:pt>
                <c:pt idx="8" formatCode="0%">
                  <c:v>8.0299999999999994</c:v>
                </c:pt>
                <c:pt idx="9" formatCode="0.00%">
                  <c:v>8.1616</c:v>
                </c:pt>
                <c:pt idx="10" formatCode="0%">
                  <c:v>19.63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B9A-BCFA-107A8871E8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564048"/>
        <c:axId val="446558288"/>
      </c:barChart>
      <c:catAx>
        <c:axId val="44656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58288"/>
        <c:crosses val="autoZero"/>
        <c:auto val="1"/>
        <c:lblAlgn val="ctr"/>
        <c:lblOffset val="100"/>
        <c:noMultiLvlLbl val="0"/>
      </c:catAx>
      <c:valAx>
        <c:axId val="44655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6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Likuiditas Asuransi</a:t>
            </a:r>
            <a:r>
              <a:rPr lang="en-US" baseline="0"/>
              <a:t> Umum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7A-4899-94E2-5DBF9F0E17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Feb26'!$F$119:$F$129</c:f>
              <c:strCache>
                <c:ptCount val="11"/>
                <c:pt idx="0">
                  <c:v>Rata-Rata</c:v>
                </c:pt>
                <c:pt idx="1">
                  <c:v>PT Asuransi Allianz Utama Indonesia</c:v>
                </c:pt>
                <c:pt idx="2">
                  <c:v>PT Chubb General Insurance Indonesia</c:v>
                </c:pt>
                <c:pt idx="3">
                  <c:v>PT Asuransi Jasa Tania Tbk.</c:v>
                </c:pt>
                <c:pt idx="4">
                  <c:v>PT Meritz Korindo Insurance</c:v>
                </c:pt>
                <c:pt idx="5">
                  <c:v>PT BRI Asuransi Indonesia</c:v>
                </c:pt>
                <c:pt idx="6">
                  <c:v>PT Asuransi Sahabat Artha Proteksi</c:v>
                </c:pt>
                <c:pt idx="7">
                  <c:v>PT Asuransi Bina Dana Arta Tbk.</c:v>
                </c:pt>
                <c:pt idx="8">
                  <c:v>PT Asuransi Tugu Pratama Indonesia Tbk.</c:v>
                </c:pt>
                <c:pt idx="9">
                  <c:v>PT Asuransi Kerugian Jasa Raharja</c:v>
                </c:pt>
                <c:pt idx="10">
                  <c:v>PT Victoria Insurance Tbk.</c:v>
                </c:pt>
              </c:strCache>
            </c:strRef>
          </c:cat>
          <c:val>
            <c:numRef>
              <c:f>'MU Feb26'!$G$119:$G$129</c:f>
              <c:numCache>
                <c:formatCode>0.0%</c:formatCode>
                <c:ptCount val="11"/>
                <c:pt idx="0" formatCode="0%">
                  <c:v>1.6256999999999999</c:v>
                </c:pt>
                <c:pt idx="1">
                  <c:v>2.0579999999999998</c:v>
                </c:pt>
                <c:pt idx="2" formatCode="0%">
                  <c:v>2.08</c:v>
                </c:pt>
                <c:pt idx="3" formatCode="0%">
                  <c:v>2.1</c:v>
                </c:pt>
                <c:pt idx="4" formatCode="0%">
                  <c:v>2.11</c:v>
                </c:pt>
                <c:pt idx="5" formatCode="0.00%">
                  <c:v>2.1434000000000002</c:v>
                </c:pt>
                <c:pt idx="6" formatCode="0.00%">
                  <c:v>2.1798000000000002</c:v>
                </c:pt>
                <c:pt idx="7" formatCode="0.00%">
                  <c:v>2.2905000000000002</c:v>
                </c:pt>
                <c:pt idx="8" formatCode="0.00%">
                  <c:v>2.3008000000000002</c:v>
                </c:pt>
                <c:pt idx="9" formatCode="0.00%">
                  <c:v>3.0956000000000001</c:v>
                </c:pt>
                <c:pt idx="10" formatCode="0%">
                  <c:v>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A-4899-94E2-5DBF9F0E17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1623040"/>
        <c:axId val="1401623520"/>
      </c:barChart>
      <c:catAx>
        <c:axId val="140162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23520"/>
        <c:crosses val="autoZero"/>
        <c:auto val="1"/>
        <c:lblAlgn val="ctr"/>
        <c:lblOffset val="100"/>
        <c:noMultiLvlLbl val="0"/>
      </c:catAx>
      <c:valAx>
        <c:axId val="140162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2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Solvabilitas Asuransi Jiwa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62-4385-8AD1-9607804263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Feb26'!$O$59:$O$70</c:f>
              <c:strCache>
                <c:ptCount val="12"/>
                <c:pt idx="0">
                  <c:v>Rata-Rata</c:v>
                </c:pt>
                <c:pt idx="1">
                  <c:v>PT Central Asia Financial</c:v>
                </c:pt>
                <c:pt idx="2">
                  <c:v>PT BNI Life Insurance</c:v>
                </c:pt>
                <c:pt idx="3">
                  <c:v>PT Asuransi Jiwa Starinvestama</c:v>
                </c:pt>
                <c:pt idx="4">
                  <c:v>PT China Life Insurance Indonesia</c:v>
                </c:pt>
                <c:pt idx="5">
                  <c:v>PT Victoria Alife Indonesia</c:v>
                </c:pt>
                <c:pt idx="6">
                  <c:v>PT Panin Dai-Chi Life</c:v>
                </c:pt>
                <c:pt idx="8">
                  <c:v>PT Hanwha Life Insurance Indonesia</c:v>
                </c:pt>
                <c:pt idx="9">
                  <c:v>PT MSIG Life Insurance Indonesia Tbk.</c:v>
                </c:pt>
                <c:pt idx="10">
                  <c:v>PT Asuransi Jiwa Sealnsure</c:v>
                </c:pt>
                <c:pt idx="11">
                  <c:v>PT PFI Mega Life Insurance</c:v>
                </c:pt>
              </c:strCache>
            </c:strRef>
          </c:cat>
          <c:val>
            <c:numRef>
              <c:f>'MU Feb26'!$P$59:$P$70</c:f>
              <c:numCache>
                <c:formatCode>0.00%</c:formatCode>
                <c:ptCount val="12"/>
                <c:pt idx="0">
                  <c:v>5.6627000000000001</c:v>
                </c:pt>
                <c:pt idx="1">
                  <c:v>7.9726999999999997</c:v>
                </c:pt>
                <c:pt idx="2">
                  <c:v>8.3727</c:v>
                </c:pt>
                <c:pt idx="3">
                  <c:v>8.5672999999999995</c:v>
                </c:pt>
                <c:pt idx="4">
                  <c:v>8.66</c:v>
                </c:pt>
                <c:pt idx="5">
                  <c:v>9</c:v>
                </c:pt>
                <c:pt idx="6">
                  <c:v>10.99</c:v>
                </c:pt>
                <c:pt idx="8">
                  <c:v>11.771000000000001</c:v>
                </c:pt>
                <c:pt idx="9">
                  <c:v>13.703900000000001</c:v>
                </c:pt>
                <c:pt idx="10">
                  <c:v>17.34</c:v>
                </c:pt>
                <c:pt idx="11">
                  <c:v>29.74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2-4385-8AD1-9607804263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9624112"/>
        <c:axId val="1439623632"/>
      </c:barChart>
      <c:catAx>
        <c:axId val="143962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3632"/>
        <c:crosses val="autoZero"/>
        <c:auto val="1"/>
        <c:lblAlgn val="ctr"/>
        <c:lblOffset val="100"/>
        <c:noMultiLvlLbl val="0"/>
      </c:catAx>
      <c:valAx>
        <c:axId val="143962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Besar Likuiditas Asuransi Jiwa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narVert">
                <a:fgClr>
                  <a:srgbClr val="C00000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F8-4AD7-9F83-0906076744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Feb26'!$O$73:$O$83</c:f>
              <c:strCache>
                <c:ptCount val="11"/>
                <c:pt idx="0">
                  <c:v>Rata-Rata</c:v>
                </c:pt>
                <c:pt idx="1">
                  <c:v>PT Bhinneka Life Indonesia</c:v>
                </c:pt>
                <c:pt idx="2">
                  <c:v>PT Asuransi Jiwa Central Asia Raya</c:v>
                </c:pt>
                <c:pt idx="3">
                  <c:v>PT MNC Life Assurance</c:v>
                </c:pt>
                <c:pt idx="4">
                  <c:v>PT Victoria Alife Indonesia</c:v>
                </c:pt>
                <c:pt idx="5">
                  <c:v>PT Perta Life Insurance</c:v>
                </c:pt>
                <c:pt idx="6">
                  <c:v>PT Central Asia Financial</c:v>
                </c:pt>
                <c:pt idx="7">
                  <c:v>PT Asuransi Jiwa Nasional</c:v>
                </c:pt>
                <c:pt idx="8">
                  <c:v>PT Asuransi Jiwa Starinvestama</c:v>
                </c:pt>
                <c:pt idx="9">
                  <c:v>PT Hanwha Life Insurance Indonesia</c:v>
                </c:pt>
                <c:pt idx="10">
                  <c:v>PT PFI Mega Life Insurance</c:v>
                </c:pt>
              </c:strCache>
            </c:strRef>
          </c:cat>
          <c:val>
            <c:numRef>
              <c:f>'MU Feb26'!$P$73:$P$83</c:f>
              <c:numCache>
                <c:formatCode>0.00%</c:formatCode>
                <c:ptCount val="11"/>
                <c:pt idx="0">
                  <c:v>2.613</c:v>
                </c:pt>
                <c:pt idx="1">
                  <c:v>2.9203000000000001</c:v>
                </c:pt>
                <c:pt idx="2">
                  <c:v>3.22</c:v>
                </c:pt>
                <c:pt idx="3">
                  <c:v>3.3689</c:v>
                </c:pt>
                <c:pt idx="4">
                  <c:v>4.08</c:v>
                </c:pt>
                <c:pt idx="5">
                  <c:v>4.4028999999999998</c:v>
                </c:pt>
                <c:pt idx="6">
                  <c:v>5.1079999999999997</c:v>
                </c:pt>
                <c:pt idx="7">
                  <c:v>5.1994999999999996</c:v>
                </c:pt>
                <c:pt idx="8">
                  <c:v>6.4760999999999997</c:v>
                </c:pt>
                <c:pt idx="9">
                  <c:v>7.4253999999999998</c:v>
                </c:pt>
                <c:pt idx="10">
                  <c:v>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8-4AD7-9F83-0906076744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9626032"/>
        <c:axId val="1439632752"/>
      </c:barChart>
      <c:catAx>
        <c:axId val="143962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32752"/>
        <c:crosses val="autoZero"/>
        <c:auto val="1"/>
        <c:lblAlgn val="ctr"/>
        <c:lblOffset val="100"/>
        <c:noMultiLvlLbl val="0"/>
      </c:catAx>
      <c:valAx>
        <c:axId val="143963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2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Bruto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(2)'!$A$12:$A$18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(2)'!$B$12:$B$18</c:f>
              <c:numCache>
                <c:formatCode>#,##0</c:formatCode>
                <c:ptCount val="7"/>
                <c:pt idx="0" formatCode="_(* #,##0_);_(* \(#,##0\);_(* &quot;-&quot;??_);_(@_)">
                  <c:v>318296</c:v>
                </c:pt>
                <c:pt idx="1">
                  <c:v>169210</c:v>
                </c:pt>
                <c:pt idx="2">
                  <c:v>104953</c:v>
                </c:pt>
                <c:pt idx="3">
                  <c:v>352933</c:v>
                </c:pt>
                <c:pt idx="4" formatCode="_(* #,##0_);_(* \(#,##0\);_(* &quot;-&quot;??_);_(@_)">
                  <c:v>607</c:v>
                </c:pt>
                <c:pt idx="5" formatCode="_(* #,##0_);_(* \(#,##0\);_(* &quot;-&quot;??_);_(@_)">
                  <c:v>0</c:v>
                </c:pt>
                <c:pt idx="6">
                  <c:v>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0-4C08-B172-ABC690A479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9755632"/>
        <c:axId val="1239753712"/>
      </c:barChart>
      <c:catAx>
        <c:axId val="12397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53712"/>
        <c:crosses val="autoZero"/>
        <c:auto val="1"/>
        <c:lblAlgn val="ctr"/>
        <c:lblOffset val="100"/>
        <c:noMultiLvlLbl val="0"/>
      </c:catAx>
      <c:valAx>
        <c:axId val="1239753712"/>
        <c:scaling>
          <c:orientation val="minMax"/>
          <c:max val="3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75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Ekuitas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28084355639437"/>
          <c:y val="0.26615538063121225"/>
          <c:w val="0.7744386938708524"/>
          <c:h val="0.68073304428648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(2)'!$A$30:$A$36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(2)'!$B$30:$B$36</c:f>
              <c:numCache>
                <c:formatCode>_(* #,##0_);_(* \(#,##0\);_(* "-"??_);_(@_)</c:formatCode>
                <c:ptCount val="7"/>
                <c:pt idx="0">
                  <c:v>2780048</c:v>
                </c:pt>
                <c:pt idx="1">
                  <c:v>1576800</c:v>
                </c:pt>
                <c:pt idx="2">
                  <c:v>-2005410</c:v>
                </c:pt>
                <c:pt idx="3">
                  <c:v>1799317</c:v>
                </c:pt>
                <c:pt idx="4">
                  <c:v>897366</c:v>
                </c:pt>
                <c:pt idx="6">
                  <c:v>908116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2-458A-A707-8C3D35C29D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6764768"/>
        <c:axId val="2036764288"/>
      </c:barChart>
      <c:catAx>
        <c:axId val="203676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64288"/>
        <c:crosses val="autoZero"/>
        <c:auto val="1"/>
        <c:lblAlgn val="ctr"/>
        <c:lblOffset val="100"/>
        <c:noMultiLvlLbl val="0"/>
      </c:catAx>
      <c:valAx>
        <c:axId val="2036764288"/>
        <c:scaling>
          <c:orientation val="minMax"/>
          <c:max val="3000000"/>
          <c:min val="-2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</a:t>
                </a:r>
                <a:r>
                  <a:rPr lang="en-US" sz="700" baseline="0"/>
                  <a:t>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6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Laba</a:t>
            </a:r>
            <a:r>
              <a:rPr lang="en-US" sz="1200" baseline="0"/>
              <a:t> Bersih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(2)'!$A$39:$A$45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(2)'!$B$39:$B$45</c:f>
              <c:numCache>
                <c:formatCode>#,##0</c:formatCode>
                <c:ptCount val="7"/>
                <c:pt idx="0">
                  <c:v>6397</c:v>
                </c:pt>
                <c:pt idx="1">
                  <c:v>-5736</c:v>
                </c:pt>
                <c:pt idx="2">
                  <c:v>70585</c:v>
                </c:pt>
                <c:pt idx="3">
                  <c:v>42447</c:v>
                </c:pt>
                <c:pt idx="4" formatCode="_(* #,##0_);_(* \(#,##0\);_(* &quot;-&quot;??_);_(@_)">
                  <c:v>3594</c:v>
                </c:pt>
                <c:pt idx="6">
                  <c:v>5420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D-44D5-8C23-CBE9B28FEE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7673824"/>
        <c:axId val="1247674784"/>
      </c:barChart>
      <c:catAx>
        <c:axId val="124767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674784"/>
        <c:crosses val="autoZero"/>
        <c:auto val="1"/>
        <c:lblAlgn val="ctr"/>
        <c:lblOffset val="100"/>
        <c:noMultiLvlLbl val="0"/>
      </c:catAx>
      <c:valAx>
        <c:axId val="1247674784"/>
        <c:scaling>
          <c:orientation val="minMax"/>
          <c:max val="72000"/>
          <c:min val="-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</a:t>
                </a:r>
                <a:r>
                  <a:rPr lang="en-US" sz="700" baseline="0"/>
                  <a:t>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67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Hasil Underwriting Bersih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5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(2)'!$A$21:$A$27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(2)'!$B$21:$B$27</c:f>
              <c:numCache>
                <c:formatCode>_(* #,##0_);_(* \(#,##0\);_(* "-"??_);_(@_)</c:formatCode>
                <c:ptCount val="7"/>
                <c:pt idx="0">
                  <c:v>11902</c:v>
                </c:pt>
                <c:pt idx="1">
                  <c:v>-7144</c:v>
                </c:pt>
                <c:pt idx="2">
                  <c:v>71356</c:v>
                </c:pt>
                <c:pt idx="3">
                  <c:v>41333</c:v>
                </c:pt>
                <c:pt idx="4">
                  <c:v>3726</c:v>
                </c:pt>
                <c:pt idx="6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E-47BB-89B9-F2038E26E0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9159360"/>
        <c:axId val="1249158880"/>
      </c:barChart>
      <c:catAx>
        <c:axId val="124915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58880"/>
        <c:crosses val="autoZero"/>
        <c:auto val="1"/>
        <c:lblAlgn val="ctr"/>
        <c:lblOffset val="100"/>
        <c:noMultiLvlLbl val="0"/>
      </c:catAx>
      <c:valAx>
        <c:axId val="1249158880"/>
        <c:scaling>
          <c:orientation val="minMax"/>
          <c:max val="75000"/>
          <c:min val="-7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15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RBC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(2)'!$A$48:$A$54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(2)'!$B$48:$B$54</c:f>
              <c:numCache>
                <c:formatCode>0.00%</c:formatCode>
                <c:ptCount val="7"/>
                <c:pt idx="0">
                  <c:v>1.3494999999999999</c:v>
                </c:pt>
                <c:pt idx="1">
                  <c:v>1.6526000000000001</c:v>
                </c:pt>
                <c:pt idx="2">
                  <c:v>-1.7114</c:v>
                </c:pt>
                <c:pt idx="3" formatCode="0%">
                  <c:v>1.92</c:v>
                </c:pt>
                <c:pt idx="4" formatCode="0.0%">
                  <c:v>11.586</c:v>
                </c:pt>
                <c:pt idx="6">
                  <c:v>4.4126000000000003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5-494F-A9EB-B57176DD02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825823"/>
        <c:axId val="1204829183"/>
      </c:barChart>
      <c:catAx>
        <c:axId val="120482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29183"/>
        <c:crosses val="autoZero"/>
        <c:auto val="1"/>
        <c:lblAlgn val="ctr"/>
        <c:lblOffset val="100"/>
        <c:noMultiLvlLbl val="0"/>
      </c:catAx>
      <c:valAx>
        <c:axId val="1204829183"/>
        <c:scaling>
          <c:orientation val="minMax"/>
          <c:max val="1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2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Likuiditas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(2)'!$A$57:$A$63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(2)'!$B$57:$B$63</c:f>
              <c:numCache>
                <c:formatCode>0.00%</c:formatCode>
                <c:ptCount val="7"/>
                <c:pt idx="0">
                  <c:v>1.2028000000000001</c:v>
                </c:pt>
                <c:pt idx="1">
                  <c:v>1.3035000000000001</c:v>
                </c:pt>
                <c:pt idx="2">
                  <c:v>0.92100000000000004</c:v>
                </c:pt>
                <c:pt idx="3">
                  <c:v>1.92</c:v>
                </c:pt>
                <c:pt idx="4">
                  <c:v>3.4201000000000001</c:v>
                </c:pt>
                <c:pt idx="6">
                  <c:v>1.6113999999999999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6-4E57-9C2F-742968A8C4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5918752"/>
        <c:axId val="1245920192"/>
      </c:barChart>
      <c:catAx>
        <c:axId val="1245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20192"/>
        <c:crosses val="autoZero"/>
        <c:auto val="1"/>
        <c:lblAlgn val="ctr"/>
        <c:lblOffset val="100"/>
        <c:noMultiLvlLbl val="0"/>
      </c:catAx>
      <c:valAx>
        <c:axId val="1245920192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Penutupan</a:t>
            </a:r>
            <a:r>
              <a:rPr lang="en-US" sz="1200" baseline="0"/>
              <a:t> Tidak Langsung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(2)'!$B$2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2480278460844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CC-402D-866F-A1C9242E8D2A}"/>
                </c:ext>
              </c:extLst>
            </c:dLbl>
            <c:dLbl>
              <c:idx val="1"/>
              <c:layout>
                <c:manualLayout>
                  <c:x val="0"/>
                  <c:y val="-1.6240139230422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CC-402D-866F-A1C9242E8D2A}"/>
                </c:ext>
              </c:extLst>
            </c:dLbl>
            <c:dLbl>
              <c:idx val="3"/>
              <c:layout>
                <c:manualLayout>
                  <c:x val="3.0075772000071992E-3"/>
                  <c:y val="4.8602772588179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CC-402D-866F-A1C9242E8D2A}"/>
                </c:ext>
              </c:extLst>
            </c:dLbl>
            <c:dLbl>
              <c:idx val="4"/>
              <c:layout>
                <c:manualLayout>
                  <c:x val="0"/>
                  <c:y val="5.39374783931558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CC-402D-866F-A1C9242E8D2A}"/>
                </c:ext>
              </c:extLst>
            </c:dLbl>
            <c:spPr>
              <a:solidFill>
                <a:srgbClr val="002060">
                  <a:alpha val="5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(2)'!$A$3:$A$9</c:f>
              <c:strCache>
                <c:ptCount val="7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(2)'!$B$3:$B$9</c:f>
              <c:numCache>
                <c:formatCode>_(* #,##0_);_(* \(#,##0\);_(* "-"??_);_(@_)</c:formatCode>
                <c:ptCount val="7"/>
                <c:pt idx="0">
                  <c:v>388451</c:v>
                </c:pt>
                <c:pt idx="1">
                  <c:v>212437</c:v>
                </c:pt>
                <c:pt idx="2">
                  <c:v>120301</c:v>
                </c:pt>
                <c:pt idx="3">
                  <c:v>415708</c:v>
                </c:pt>
                <c:pt idx="4">
                  <c:v>933</c:v>
                </c:pt>
                <c:pt idx="5">
                  <c:v>0</c:v>
                </c:pt>
                <c:pt idx="6">
                  <c:v>129778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C-402D-866F-A1C9242E8D2A}"/>
            </c:ext>
          </c:extLst>
        </c:ser>
        <c:ser>
          <c:idx val="1"/>
          <c:order val="1"/>
          <c:tx>
            <c:strRef>
              <c:f>'MU Jan26 (2)'!$C$2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2.15749913572624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CC-402D-866F-A1C9242E8D2A}"/>
                </c:ext>
              </c:extLst>
            </c:dLbl>
            <c:dLbl>
              <c:idx val="6"/>
              <c:layout>
                <c:manualLayout>
                  <c:x val="0"/>
                  <c:y val="1.07874956786311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CC-402D-866F-A1C9242E8D2A}"/>
                </c:ext>
              </c:extLst>
            </c:dLbl>
            <c:spPr>
              <a:solidFill>
                <a:schemeClr val="accent6">
                  <a:lumMod val="75000"/>
                  <a:alpha val="6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(2)'!$A$3:$A$9</c:f>
              <c:strCache>
                <c:ptCount val="7"/>
                <c:pt idx="0">
                  <c:v>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(2)'!$C$3:$C$9</c:f>
              <c:numCache>
                <c:formatCode>_-* #,##0_-;\-* #,##0_-;_-* "-"??_-;_-@_-</c:formatCode>
                <c:ptCount val="7"/>
                <c:pt idx="0">
                  <c:v>451716</c:v>
                </c:pt>
                <c:pt idx="1">
                  <c:v>143190</c:v>
                </c:pt>
                <c:pt idx="2">
                  <c:v>410915</c:v>
                </c:pt>
                <c:pt idx="3">
                  <c:v>438402</c:v>
                </c:pt>
                <c:pt idx="4">
                  <c:v>2231</c:v>
                </c:pt>
                <c:pt idx="5">
                  <c:v>1113064</c:v>
                </c:pt>
                <c:pt idx="6">
                  <c:v>85797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C-402D-866F-A1C9242E8D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Premi Penutupan</a:t>
            </a:r>
            <a:r>
              <a:rPr lang="en-US" sz="1200" baseline="0"/>
              <a:t> Tidak Langsung</a:t>
            </a:r>
            <a:endParaRPr lang="id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6838552633261"/>
          <c:y val="0.18689336263228482"/>
          <c:w val="0.76924324372952479"/>
          <c:h val="0.47607724186669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'MU Jan26 (2)'!$B$2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2060">
                  <a:alpha val="5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(2)'!$A$12:$A$18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(2)'!$B$12:$B$18</c:f>
              <c:numCache>
                <c:formatCode>#,##0</c:formatCode>
                <c:ptCount val="7"/>
                <c:pt idx="0" formatCode="_(* #,##0_);_(* \(#,##0\);_(* &quot;-&quot;??_);_(@_)">
                  <c:v>318296</c:v>
                </c:pt>
                <c:pt idx="1">
                  <c:v>169210</c:v>
                </c:pt>
                <c:pt idx="2">
                  <c:v>104953</c:v>
                </c:pt>
                <c:pt idx="3">
                  <c:v>352933</c:v>
                </c:pt>
                <c:pt idx="4" formatCode="_(* #,##0_);_(* \(#,##0\);_(* &quot;-&quot;??_);_(@_)">
                  <c:v>607</c:v>
                </c:pt>
                <c:pt idx="5" formatCode="_(* #,##0_);_(* \(#,##0\);_(* &quot;-&quot;??_);_(@_)">
                  <c:v>0</c:v>
                </c:pt>
                <c:pt idx="6">
                  <c:v>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D-4BCB-9D3F-68ED012BB63F}"/>
            </c:ext>
          </c:extLst>
        </c:ser>
        <c:ser>
          <c:idx val="1"/>
          <c:order val="1"/>
          <c:tx>
            <c:strRef>
              <c:f>'MU Jan26 (2)'!$C$2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75000"/>
                  <a:alpha val="6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'MU Jan26 (2)'!$A$12:$A$18</c:f>
              <c:strCache>
                <c:ptCount val="7"/>
                <c:pt idx="0">
                  <c:v> PT Reasuransi Indonesia Utama (Persero)</c:v>
                </c:pt>
                <c:pt idx="1">
                  <c:v> PT Maskapai Reasuransi Indonesia Tbk.</c:v>
                </c:pt>
                <c:pt idx="2">
                  <c:v> PT Reasuransi Nasional Indonesia</c:v>
                </c:pt>
                <c:pt idx="3">
                  <c:v> PT Tugu Reasuransi Indonesia</c:v>
                </c:pt>
                <c:pt idx="4">
                  <c:v> PT Reasuransi Maipark Indonesia</c:v>
                </c:pt>
                <c:pt idx="5">
                  <c:v> PT Reasuransi Nusantara Makmur</c:v>
                </c:pt>
                <c:pt idx="6">
                  <c:v> PT Indoperkasa Suksesjaya Reasuransi</c:v>
                </c:pt>
              </c:strCache>
            </c:strRef>
          </c:cat>
          <c:val>
            <c:numRef>
              <c:f>'MU Jan26 (2)'!$C$12:$C$18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ADED-4BCB-9D3F-68ED012BB6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5807359"/>
        <c:axId val="1335806879"/>
      </c:barChart>
      <c:catAx>
        <c:axId val="13358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6879"/>
        <c:crosses val="autoZero"/>
        <c:auto val="1"/>
        <c:lblAlgn val="ctr"/>
        <c:lblOffset val="100"/>
        <c:noMultiLvlLbl val="0"/>
      </c:catAx>
      <c:valAx>
        <c:axId val="1335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dalam juta rupiah</a:t>
                </a:r>
                <a:endParaRPr lang="id-ID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80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21" Type="http://schemas.openxmlformats.org/officeDocument/2006/relationships/chart" Target="../charts/chart45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4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19" Type="http://schemas.openxmlformats.org/officeDocument/2006/relationships/chart" Target="../charts/chart43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Relationship Id="rId22" Type="http://schemas.openxmlformats.org/officeDocument/2006/relationships/chart" Target="../charts/chart4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10" Type="http://schemas.openxmlformats.org/officeDocument/2006/relationships/chart" Target="../charts/chart56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image" Target="../media/image10.png"/><Relationship Id="rId1" Type="http://schemas.openxmlformats.org/officeDocument/2006/relationships/chart" Target="../charts/chart6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7" Type="http://schemas.openxmlformats.org/officeDocument/2006/relationships/chart" Target="../charts/chart68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6.xml"/><Relationship Id="rId13" Type="http://schemas.openxmlformats.org/officeDocument/2006/relationships/chart" Target="../charts/chart81.xml"/><Relationship Id="rId18" Type="http://schemas.openxmlformats.org/officeDocument/2006/relationships/chart" Target="../charts/chart86.xml"/><Relationship Id="rId3" Type="http://schemas.openxmlformats.org/officeDocument/2006/relationships/chart" Target="../charts/chart71.xml"/><Relationship Id="rId21" Type="http://schemas.openxmlformats.org/officeDocument/2006/relationships/chart" Target="../charts/chart89.xml"/><Relationship Id="rId7" Type="http://schemas.openxmlformats.org/officeDocument/2006/relationships/chart" Target="../charts/chart75.xml"/><Relationship Id="rId12" Type="http://schemas.openxmlformats.org/officeDocument/2006/relationships/chart" Target="../charts/chart80.xml"/><Relationship Id="rId17" Type="http://schemas.openxmlformats.org/officeDocument/2006/relationships/chart" Target="../charts/chart85.xml"/><Relationship Id="rId2" Type="http://schemas.openxmlformats.org/officeDocument/2006/relationships/chart" Target="../charts/chart70.xml"/><Relationship Id="rId16" Type="http://schemas.openxmlformats.org/officeDocument/2006/relationships/chart" Target="../charts/chart84.xml"/><Relationship Id="rId20" Type="http://schemas.openxmlformats.org/officeDocument/2006/relationships/chart" Target="../charts/chart88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11" Type="http://schemas.openxmlformats.org/officeDocument/2006/relationships/chart" Target="../charts/chart79.xml"/><Relationship Id="rId24" Type="http://schemas.openxmlformats.org/officeDocument/2006/relationships/chart" Target="../charts/chart92.xml"/><Relationship Id="rId5" Type="http://schemas.openxmlformats.org/officeDocument/2006/relationships/chart" Target="../charts/chart73.xml"/><Relationship Id="rId15" Type="http://schemas.openxmlformats.org/officeDocument/2006/relationships/chart" Target="../charts/chart83.xml"/><Relationship Id="rId23" Type="http://schemas.openxmlformats.org/officeDocument/2006/relationships/chart" Target="../charts/chart91.xml"/><Relationship Id="rId10" Type="http://schemas.openxmlformats.org/officeDocument/2006/relationships/chart" Target="../charts/chart78.xml"/><Relationship Id="rId19" Type="http://schemas.openxmlformats.org/officeDocument/2006/relationships/chart" Target="../charts/chart87.xml"/><Relationship Id="rId4" Type="http://schemas.openxmlformats.org/officeDocument/2006/relationships/chart" Target="../charts/chart72.xml"/><Relationship Id="rId9" Type="http://schemas.openxmlformats.org/officeDocument/2006/relationships/chart" Target="../charts/chart77.xml"/><Relationship Id="rId14" Type="http://schemas.openxmlformats.org/officeDocument/2006/relationships/chart" Target="../charts/chart82.xml"/><Relationship Id="rId22" Type="http://schemas.openxmlformats.org/officeDocument/2006/relationships/chart" Target="../charts/chart9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0.xml"/><Relationship Id="rId3" Type="http://schemas.openxmlformats.org/officeDocument/2006/relationships/chart" Target="../charts/chart95.xml"/><Relationship Id="rId7" Type="http://schemas.openxmlformats.org/officeDocument/2006/relationships/chart" Target="../charts/chart99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6" Type="http://schemas.openxmlformats.org/officeDocument/2006/relationships/chart" Target="../charts/chart98.xml"/><Relationship Id="rId5" Type="http://schemas.openxmlformats.org/officeDocument/2006/relationships/chart" Target="../charts/chart97.xml"/><Relationship Id="rId4" Type="http://schemas.openxmlformats.org/officeDocument/2006/relationships/chart" Target="../charts/chart9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78967</xdr:colOff>
      <xdr:row>0</xdr:row>
      <xdr:rowOff>167519</xdr:rowOff>
    </xdr:from>
    <xdr:to>
      <xdr:col>6</xdr:col>
      <xdr:colOff>3085449</xdr:colOff>
      <xdr:row>14</xdr:row>
      <xdr:rowOff>136536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046C1-9855-4913-9615-B3B016FE6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96630</xdr:colOff>
      <xdr:row>16</xdr:row>
      <xdr:rowOff>69023</xdr:rowOff>
    </xdr:from>
    <xdr:to>
      <xdr:col>6</xdr:col>
      <xdr:colOff>3103112</xdr:colOff>
      <xdr:row>29</xdr:row>
      <xdr:rowOff>33110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94287F-08C6-420A-86F3-C075EEEBB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128715</xdr:colOff>
      <xdr:row>29</xdr:row>
      <xdr:rowOff>145877</xdr:rowOff>
    </xdr:from>
    <xdr:to>
      <xdr:col>6</xdr:col>
      <xdr:colOff>3135197</xdr:colOff>
      <xdr:row>42</xdr:row>
      <xdr:rowOff>117577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1EA2CB-A8F8-4A27-8254-4AC2989CC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70720</xdr:colOff>
      <xdr:row>42</xdr:row>
      <xdr:rowOff>145440</xdr:rowOff>
    </xdr:from>
    <xdr:to>
      <xdr:col>6</xdr:col>
      <xdr:colOff>3077202</xdr:colOff>
      <xdr:row>55</xdr:row>
      <xdr:rowOff>109527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88E610-894A-4EBD-A0B9-83A4C5AEC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50397</xdr:colOff>
      <xdr:row>56</xdr:row>
      <xdr:rowOff>51505</xdr:rowOff>
    </xdr:from>
    <xdr:to>
      <xdr:col>6</xdr:col>
      <xdr:colOff>3056879</xdr:colOff>
      <xdr:row>69</xdr:row>
      <xdr:rowOff>15592</xdr:rowOff>
    </xdr:to>
    <xdr:graphicFrame macro="">
      <xdr:nvGraphicFramePr>
        <xdr:cNvPr id="40" name="Chart 5">
          <a:extLst>
            <a:ext uri="{FF2B5EF4-FFF2-40B4-BE49-F238E27FC236}">
              <a16:creationId xmlns:a16="http://schemas.microsoft.com/office/drawing/2014/main" id="{F5787837-72DE-4620-8F91-23991C0B9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65974</xdr:colOff>
      <xdr:row>69</xdr:row>
      <xdr:rowOff>123702</xdr:rowOff>
    </xdr:from>
    <xdr:to>
      <xdr:col>6</xdr:col>
      <xdr:colOff>3072456</xdr:colOff>
      <xdr:row>82</xdr:row>
      <xdr:rowOff>87788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A81556-F81A-447D-ABE8-58D7356AA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1821</xdr:colOff>
      <xdr:row>83</xdr:row>
      <xdr:rowOff>1279</xdr:rowOff>
    </xdr:from>
    <xdr:to>
      <xdr:col>6</xdr:col>
      <xdr:colOff>2995472</xdr:colOff>
      <xdr:row>95</xdr:row>
      <xdr:rowOff>151219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51A062-69E7-4845-8443-1BE7C7CD9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93</xdr:row>
      <xdr:rowOff>154157</xdr:rowOff>
    </xdr:from>
    <xdr:to>
      <xdr:col>2</xdr:col>
      <xdr:colOff>413565</xdr:colOff>
      <xdr:row>106</xdr:row>
      <xdr:rowOff>117598</xdr:rowOff>
    </xdr:to>
    <xdr:graphicFrame macro="">
      <xdr:nvGraphicFramePr>
        <xdr:cNvPr id="41" name="Chart 8">
          <a:extLst>
            <a:ext uri="{FF2B5EF4-FFF2-40B4-BE49-F238E27FC236}">
              <a16:creationId xmlns:a16="http://schemas.microsoft.com/office/drawing/2014/main" id="{D4714518-6D61-4D66-A137-C80A10B21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227211</xdr:colOff>
      <xdr:row>1</xdr:row>
      <xdr:rowOff>1665</xdr:rowOff>
    </xdr:from>
    <xdr:to>
      <xdr:col>11</xdr:col>
      <xdr:colOff>2933197</xdr:colOff>
      <xdr:row>18</xdr:row>
      <xdr:rowOff>53058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B2CDA75-F53A-4ADE-8C9D-7FEE88A16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224118</xdr:colOff>
      <xdr:row>19</xdr:row>
      <xdr:rowOff>31127</xdr:rowOff>
    </xdr:from>
    <xdr:to>
      <xdr:col>11</xdr:col>
      <xdr:colOff>2930104</xdr:colOff>
      <xdr:row>36</xdr:row>
      <xdr:rowOff>94971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2C0B7D2-137B-4058-9A08-8EA0BB619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262282</xdr:colOff>
      <xdr:row>37</xdr:row>
      <xdr:rowOff>124240</xdr:rowOff>
    </xdr:from>
    <xdr:to>
      <xdr:col>11</xdr:col>
      <xdr:colOff>2968268</xdr:colOff>
      <xdr:row>55</xdr:row>
      <xdr:rowOff>8627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A3DCB32-9990-485D-BAD1-6977DF352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248478</xdr:colOff>
      <xdr:row>55</xdr:row>
      <xdr:rowOff>151849</xdr:rowOff>
    </xdr:from>
    <xdr:to>
      <xdr:col>11</xdr:col>
      <xdr:colOff>2954464</xdr:colOff>
      <xdr:row>73</xdr:row>
      <xdr:rowOff>50041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C1519E7-9798-4CBC-9B60-CF96ECF72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8</xdr:col>
      <xdr:colOff>1449790</xdr:colOff>
      <xdr:row>96</xdr:row>
      <xdr:rowOff>77649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C2D7C1-6220-44E0-B6CE-3B97C3F8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49803</xdr:colOff>
      <xdr:row>78</xdr:row>
      <xdr:rowOff>149412</xdr:rowOff>
    </xdr:from>
    <xdr:to>
      <xdr:col>11</xdr:col>
      <xdr:colOff>2753914</xdr:colOff>
      <xdr:row>96</xdr:row>
      <xdr:rowOff>40296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662FE1-1663-4DF4-A481-7D4C04A53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415637</xdr:colOff>
      <xdr:row>1</xdr:row>
      <xdr:rowOff>8081</xdr:rowOff>
    </xdr:from>
    <xdr:to>
      <xdr:col>21</xdr:col>
      <xdr:colOff>81643</xdr:colOff>
      <xdr:row>22</xdr:row>
      <xdr:rowOff>18143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F30826C-BF59-4E90-90B0-44621CE3E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543529</xdr:colOff>
      <xdr:row>14</xdr:row>
      <xdr:rowOff>52917</xdr:rowOff>
    </xdr:from>
    <xdr:to>
      <xdr:col>25</xdr:col>
      <xdr:colOff>501470</xdr:colOff>
      <xdr:row>32</xdr:row>
      <xdr:rowOff>91269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07E5E49-B7AC-4B9C-A09E-B07C577A0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0</xdr:colOff>
      <xdr:row>24</xdr:row>
      <xdr:rowOff>165274</xdr:rowOff>
    </xdr:from>
    <xdr:to>
      <xdr:col>21</xdr:col>
      <xdr:colOff>26096</xdr:colOff>
      <xdr:row>47</xdr:row>
      <xdr:rowOff>139180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BD2A84-5F79-4F06-A243-0040FDB3B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34793</xdr:colOff>
      <xdr:row>45</xdr:row>
      <xdr:rowOff>156575</xdr:rowOff>
    </xdr:from>
    <xdr:to>
      <xdr:col>23</xdr:col>
      <xdr:colOff>600520</xdr:colOff>
      <xdr:row>64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6065CA2-C5A2-44FB-A0C9-6347ACEE3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105833</xdr:colOff>
      <xdr:row>78</xdr:row>
      <xdr:rowOff>116418</xdr:rowOff>
    </xdr:from>
    <xdr:to>
      <xdr:col>14</xdr:col>
      <xdr:colOff>89476</xdr:colOff>
      <xdr:row>93</xdr:row>
      <xdr:rowOff>113147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946E56A-DB6F-470C-AA6C-4D0F2D66E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127000</xdr:colOff>
      <xdr:row>94</xdr:row>
      <xdr:rowOff>74083</xdr:rowOff>
    </xdr:from>
    <xdr:to>
      <xdr:col>14</xdr:col>
      <xdr:colOff>110643</xdr:colOff>
      <xdr:row>109</xdr:row>
      <xdr:rowOff>70812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2189CC7-E7E3-4292-BDD3-76D1F0B0F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239888</xdr:colOff>
      <xdr:row>98</xdr:row>
      <xdr:rowOff>124178</xdr:rowOff>
    </xdr:from>
    <xdr:to>
      <xdr:col>9</xdr:col>
      <xdr:colOff>155222</xdr:colOff>
      <xdr:row>116</xdr:row>
      <xdr:rowOff>70556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961F907-C65E-B8B0-0B25-9E7D6F5D8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84666</xdr:colOff>
      <xdr:row>116</xdr:row>
      <xdr:rowOff>67734</xdr:rowOff>
    </xdr:from>
    <xdr:to>
      <xdr:col>9</xdr:col>
      <xdr:colOff>522111</xdr:colOff>
      <xdr:row>131</xdr:row>
      <xdr:rowOff>59267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F77974B-F047-31E7-2AC9-A0E1F5576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</xdr:col>
      <xdr:colOff>449792</xdr:colOff>
      <xdr:row>79</xdr:row>
      <xdr:rowOff>14816</xdr:rowOff>
    </xdr:from>
    <xdr:to>
      <xdr:col>19</xdr:col>
      <xdr:colOff>206375</xdr:colOff>
      <xdr:row>94</xdr:row>
      <xdr:rowOff>59266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34D01B-FC7B-C759-2B15-6ECDB3E9C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386291</xdr:colOff>
      <xdr:row>95</xdr:row>
      <xdr:rowOff>4233</xdr:rowOff>
    </xdr:from>
    <xdr:to>
      <xdr:col>19</xdr:col>
      <xdr:colOff>142874</xdr:colOff>
      <xdr:row>110</xdr:row>
      <xdr:rowOff>48683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949B66-0924-3CF2-C258-1B8C0B236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78967</xdr:colOff>
      <xdr:row>0</xdr:row>
      <xdr:rowOff>167519</xdr:rowOff>
    </xdr:from>
    <xdr:to>
      <xdr:col>6</xdr:col>
      <xdr:colOff>3085449</xdr:colOff>
      <xdr:row>14</xdr:row>
      <xdr:rowOff>136536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2D6D6-F080-4905-A379-A30432DC3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96630</xdr:colOff>
      <xdr:row>16</xdr:row>
      <xdr:rowOff>69023</xdr:rowOff>
    </xdr:from>
    <xdr:to>
      <xdr:col>6</xdr:col>
      <xdr:colOff>3103112</xdr:colOff>
      <xdr:row>29</xdr:row>
      <xdr:rowOff>33110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C83900-F112-4E7E-9AB8-FF2F5D1CB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128715</xdr:colOff>
      <xdr:row>29</xdr:row>
      <xdr:rowOff>145877</xdr:rowOff>
    </xdr:from>
    <xdr:to>
      <xdr:col>6</xdr:col>
      <xdr:colOff>3135197</xdr:colOff>
      <xdr:row>42</xdr:row>
      <xdr:rowOff>117577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D853F-5B9D-4BE4-9378-BC683A395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70720</xdr:colOff>
      <xdr:row>42</xdr:row>
      <xdr:rowOff>145440</xdr:rowOff>
    </xdr:from>
    <xdr:to>
      <xdr:col>6</xdr:col>
      <xdr:colOff>3077202</xdr:colOff>
      <xdr:row>55</xdr:row>
      <xdr:rowOff>109527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B6852-5DB9-4472-8070-BA72BA914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50397</xdr:colOff>
      <xdr:row>56</xdr:row>
      <xdr:rowOff>51505</xdr:rowOff>
    </xdr:from>
    <xdr:to>
      <xdr:col>6</xdr:col>
      <xdr:colOff>3056879</xdr:colOff>
      <xdr:row>69</xdr:row>
      <xdr:rowOff>15592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75155C-B7E0-45FB-A5A4-1B560D49E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65974</xdr:colOff>
      <xdr:row>69</xdr:row>
      <xdr:rowOff>123702</xdr:rowOff>
    </xdr:from>
    <xdr:to>
      <xdr:col>6</xdr:col>
      <xdr:colOff>3072456</xdr:colOff>
      <xdr:row>82</xdr:row>
      <xdr:rowOff>87788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5F6CBD-70A0-4602-BEC0-37FDE037A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1821</xdr:colOff>
      <xdr:row>83</xdr:row>
      <xdr:rowOff>1279</xdr:rowOff>
    </xdr:from>
    <xdr:to>
      <xdr:col>6</xdr:col>
      <xdr:colOff>2995472</xdr:colOff>
      <xdr:row>95</xdr:row>
      <xdr:rowOff>151219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0D71F38-0789-43A3-9ED6-9EFBC13B2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147135</xdr:colOff>
      <xdr:row>81</xdr:row>
      <xdr:rowOff>139390</xdr:rowOff>
    </xdr:from>
    <xdr:to>
      <xdr:col>2</xdr:col>
      <xdr:colOff>560700</xdr:colOff>
      <xdr:row>94</xdr:row>
      <xdr:rowOff>102831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9B2804-B880-4BCA-B557-4590F6CB8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219995</xdr:colOff>
      <xdr:row>1</xdr:row>
      <xdr:rowOff>23312</xdr:rowOff>
    </xdr:from>
    <xdr:to>
      <xdr:col>11</xdr:col>
      <xdr:colOff>2925981</xdr:colOff>
      <xdr:row>18</xdr:row>
      <xdr:rowOff>74705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915015-D41C-4E89-9FEA-EC3E0A6AE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224118</xdr:colOff>
      <xdr:row>19</xdr:row>
      <xdr:rowOff>31127</xdr:rowOff>
    </xdr:from>
    <xdr:to>
      <xdr:col>11</xdr:col>
      <xdr:colOff>2930104</xdr:colOff>
      <xdr:row>36</xdr:row>
      <xdr:rowOff>94971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2AAE22-B25A-4B7A-BAB2-48FE809D1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262282</xdr:colOff>
      <xdr:row>37</xdr:row>
      <xdr:rowOff>124240</xdr:rowOff>
    </xdr:from>
    <xdr:to>
      <xdr:col>11</xdr:col>
      <xdr:colOff>2968268</xdr:colOff>
      <xdr:row>55</xdr:row>
      <xdr:rowOff>8627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E44CD27-D8CD-4DF7-8C55-1D9182A51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248478</xdr:colOff>
      <xdr:row>55</xdr:row>
      <xdr:rowOff>151849</xdr:rowOff>
    </xdr:from>
    <xdr:to>
      <xdr:col>11</xdr:col>
      <xdr:colOff>2954464</xdr:colOff>
      <xdr:row>73</xdr:row>
      <xdr:rowOff>50041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36ED3CC-7F6E-468F-99D6-4C107E58D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8</xdr:col>
      <xdr:colOff>1449790</xdr:colOff>
      <xdr:row>96</xdr:row>
      <xdr:rowOff>77649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6755D68-B786-42C4-9A7F-B1B8358A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49803</xdr:colOff>
      <xdr:row>78</xdr:row>
      <xdr:rowOff>149412</xdr:rowOff>
    </xdr:from>
    <xdr:to>
      <xdr:col>11</xdr:col>
      <xdr:colOff>2753914</xdr:colOff>
      <xdr:row>96</xdr:row>
      <xdr:rowOff>40296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6877CAB-E1A0-43FE-8897-33E142019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415637</xdr:colOff>
      <xdr:row>1</xdr:row>
      <xdr:rowOff>8081</xdr:rowOff>
    </xdr:from>
    <xdr:to>
      <xdr:col>20</xdr:col>
      <xdr:colOff>369454</xdr:colOff>
      <xdr:row>15</xdr:row>
      <xdr:rowOff>173180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FF6F56-8D27-EBAF-E0E9-E813CE69E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20</xdr:col>
      <xdr:colOff>565726</xdr:colOff>
      <xdr:row>31</xdr:row>
      <xdr:rowOff>165100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2059E03-D739-4202-A9FF-05D4A0D72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0</xdr:colOff>
      <xdr:row>32</xdr:row>
      <xdr:rowOff>138545</xdr:rowOff>
    </xdr:from>
    <xdr:to>
      <xdr:col>20</xdr:col>
      <xdr:colOff>565726</xdr:colOff>
      <xdr:row>47</xdr:row>
      <xdr:rowOff>118917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2A4E646-FC96-498B-90B2-264A3328E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0</xdr:colOff>
      <xdr:row>49</xdr:row>
      <xdr:rowOff>0</xdr:rowOff>
    </xdr:from>
    <xdr:to>
      <xdr:col>20</xdr:col>
      <xdr:colOff>565726</xdr:colOff>
      <xdr:row>63</xdr:row>
      <xdr:rowOff>176645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7EEDE08-D949-4964-903F-24612FCEF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0</xdr:colOff>
      <xdr:row>65</xdr:row>
      <xdr:rowOff>0</xdr:rowOff>
    </xdr:from>
    <xdr:to>
      <xdr:col>20</xdr:col>
      <xdr:colOff>565726</xdr:colOff>
      <xdr:row>79</xdr:row>
      <xdr:rowOff>176646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EF5313D-E340-4A2E-89FC-5011A7408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0</xdr:colOff>
      <xdr:row>81</xdr:row>
      <xdr:rowOff>0</xdr:rowOff>
    </xdr:from>
    <xdr:to>
      <xdr:col>20</xdr:col>
      <xdr:colOff>565726</xdr:colOff>
      <xdr:row>95</xdr:row>
      <xdr:rowOff>176645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C9DDC1A-6627-4908-856F-72326C318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0</xdr:colOff>
      <xdr:row>98</xdr:row>
      <xdr:rowOff>0</xdr:rowOff>
    </xdr:from>
    <xdr:to>
      <xdr:col>11</xdr:col>
      <xdr:colOff>2705986</xdr:colOff>
      <xdr:row>117</xdr:row>
      <xdr:rowOff>89123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9A9887F-F025-4245-A681-A2E4FFACC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98</xdr:row>
      <xdr:rowOff>0</xdr:rowOff>
    </xdr:from>
    <xdr:to>
      <xdr:col>7</xdr:col>
      <xdr:colOff>735297</xdr:colOff>
      <xdr:row>117</xdr:row>
      <xdr:rowOff>89123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DA9C585-7536-4378-848E-AD157E33D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9526</xdr:rowOff>
    </xdr:from>
    <xdr:to>
      <xdr:col>10</xdr:col>
      <xdr:colOff>483457</xdr:colOff>
      <xdr:row>29</xdr:row>
      <xdr:rowOff>145142</xdr:rowOff>
    </xdr:to>
    <xdr:graphicFrame macro="">
      <xdr:nvGraphicFramePr>
        <xdr:cNvPr id="5" name="Bagan 3">
          <a:extLst>
            <a:ext uri="{FF2B5EF4-FFF2-40B4-BE49-F238E27FC236}">
              <a16:creationId xmlns:a16="http://schemas.microsoft.com/office/drawing/2014/main" id="{E59E5A41-525A-0F81-62B6-68B3263FC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736023</xdr:colOff>
      <xdr:row>18</xdr:row>
      <xdr:rowOff>106723</xdr:rowOff>
    </xdr:from>
    <xdr:to>
      <xdr:col>16</xdr:col>
      <xdr:colOff>461909</xdr:colOff>
      <xdr:row>30</xdr:row>
      <xdr:rowOff>86592</xdr:rowOff>
    </xdr:to>
    <xdr:graphicFrame macro="">
      <xdr:nvGraphicFramePr>
        <xdr:cNvPr id="9" name="Bagan 6">
          <a:extLst>
            <a:ext uri="{FF2B5EF4-FFF2-40B4-BE49-F238E27FC236}">
              <a16:creationId xmlns:a16="http://schemas.microsoft.com/office/drawing/2014/main" id="{AE0185A7-0A19-B6CF-7420-35D2F3B70A69}"/>
            </a:ext>
            <a:ext uri="{147F2762-F138-4A5C-976F-8EAC2B608ADB}">
              <a16:predDERef xmlns:a16="http://schemas.microsoft.com/office/drawing/2014/main" pred="{E59E5A41-525A-0F81-62B6-68B3263FC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21518</xdr:colOff>
      <xdr:row>17</xdr:row>
      <xdr:rowOff>84492</xdr:rowOff>
    </xdr:from>
    <xdr:to>
      <xdr:col>29</xdr:col>
      <xdr:colOff>537752</xdr:colOff>
      <xdr:row>32</xdr:row>
      <xdr:rowOff>25293</xdr:rowOff>
    </xdr:to>
    <xdr:graphicFrame macro="">
      <xdr:nvGraphicFramePr>
        <xdr:cNvPr id="20" name="Bagan 9">
          <a:extLst>
            <a:ext uri="{FF2B5EF4-FFF2-40B4-BE49-F238E27FC236}">
              <a16:creationId xmlns:a16="http://schemas.microsoft.com/office/drawing/2014/main" id="{724E9A6C-B84D-23AF-2C0A-E57B56A64B70}"/>
            </a:ext>
            <a:ext uri="{147F2762-F138-4A5C-976F-8EAC2B608ADB}">
              <a16:predDERef xmlns:a16="http://schemas.microsoft.com/office/drawing/2014/main" pred="{AE0185A7-0A19-B6CF-7420-35D2F3B70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158750</xdr:colOff>
      <xdr:row>34</xdr:row>
      <xdr:rowOff>84747</xdr:rowOff>
    </xdr:from>
    <xdr:to>
      <xdr:col>24</xdr:col>
      <xdr:colOff>421821</xdr:colOff>
      <xdr:row>50</xdr:row>
      <xdr:rowOff>15804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D74E981F-770F-543A-5597-404BFD54E7EB}"/>
            </a:ext>
            <a:ext uri="{147F2762-F138-4A5C-976F-8EAC2B608ADB}">
              <a16:predDERef xmlns:a16="http://schemas.microsoft.com/office/drawing/2014/main" pred="{724E9A6C-B84D-23AF-2C0A-E57B56A64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504825</xdr:colOff>
      <xdr:row>16</xdr:row>
      <xdr:rowOff>0</xdr:rowOff>
    </xdr:from>
    <xdr:to>
      <xdr:col>48</xdr:col>
      <xdr:colOff>28575</xdr:colOff>
      <xdr:row>33</xdr:row>
      <xdr:rowOff>9525</xdr:rowOff>
    </xdr:to>
    <xdr:graphicFrame macro="">
      <xdr:nvGraphicFramePr>
        <xdr:cNvPr id="28" name="Bagan 5">
          <a:extLst>
            <a:ext uri="{FF2B5EF4-FFF2-40B4-BE49-F238E27FC236}">
              <a16:creationId xmlns:a16="http://schemas.microsoft.com/office/drawing/2014/main" id="{9E734807-4AE7-3519-8557-DB1C8A92E1B8}"/>
            </a:ext>
            <a:ext uri="{147F2762-F138-4A5C-976F-8EAC2B608ADB}">
              <a16:predDERef xmlns:a16="http://schemas.microsoft.com/office/drawing/2014/main" pred="{D74E981F-770F-543A-5597-404BFD54E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165377</xdr:colOff>
      <xdr:row>18</xdr:row>
      <xdr:rowOff>52603</xdr:rowOff>
    </xdr:from>
    <xdr:to>
      <xdr:col>37</xdr:col>
      <xdr:colOff>606794</xdr:colOff>
      <xdr:row>31</xdr:row>
      <xdr:rowOff>111661</xdr:rowOff>
    </xdr:to>
    <xdr:graphicFrame macro="">
      <xdr:nvGraphicFramePr>
        <xdr:cNvPr id="26" name="Bagan 10">
          <a:extLst>
            <a:ext uri="{FF2B5EF4-FFF2-40B4-BE49-F238E27FC236}">
              <a16:creationId xmlns:a16="http://schemas.microsoft.com/office/drawing/2014/main" id="{9275E2C7-7CCC-C184-F807-3B174B730615}"/>
            </a:ext>
            <a:ext uri="{147F2762-F138-4A5C-976F-8EAC2B608ADB}">
              <a16:predDERef xmlns:a16="http://schemas.microsoft.com/office/drawing/2014/main" pred="{9E734807-4AE7-3519-8557-DB1C8A92E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51</xdr:col>
      <xdr:colOff>352810</xdr:colOff>
      <xdr:row>16</xdr:row>
      <xdr:rowOff>167472</xdr:rowOff>
    </xdr:from>
    <xdr:to>
      <xdr:col>58</xdr:col>
      <xdr:colOff>600023</xdr:colOff>
      <xdr:row>29</xdr:row>
      <xdr:rowOff>157882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EC047-6011-CA70-D41C-FD0B855BF4EE}"/>
            </a:ext>
            <a:ext uri="{147F2762-F138-4A5C-976F-8EAC2B608ADB}">
              <a16:predDERef xmlns:a16="http://schemas.microsoft.com/office/drawing/2014/main" pred="{9275E2C7-7CCC-C184-F807-3B174B730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61</xdr:col>
      <xdr:colOff>527922</xdr:colOff>
      <xdr:row>16</xdr:row>
      <xdr:rowOff>136960</xdr:rowOff>
    </xdr:from>
    <xdr:to>
      <xdr:col>70</xdr:col>
      <xdr:colOff>124510</xdr:colOff>
      <xdr:row>31</xdr:row>
      <xdr:rowOff>45570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8EF212-14BB-60D6-BBF4-07584BA99B4F}"/>
            </a:ext>
            <a:ext uri="{147F2762-F138-4A5C-976F-8EAC2B608ADB}">
              <a16:predDERef xmlns:a16="http://schemas.microsoft.com/office/drawing/2014/main" pred="{9B6EC047-6011-CA70-D41C-FD0B855B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71</xdr:col>
      <xdr:colOff>510701</xdr:colOff>
      <xdr:row>16</xdr:row>
      <xdr:rowOff>101060</xdr:rowOff>
    </xdr:from>
    <xdr:to>
      <xdr:col>79</xdr:col>
      <xdr:colOff>1283510</xdr:colOff>
      <xdr:row>30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32B6CD-E5CB-DA4B-BA23-F3599B14F12D}"/>
            </a:ext>
            <a:ext uri="{147F2762-F138-4A5C-976F-8EAC2B608ADB}">
              <a16:predDERef xmlns:a16="http://schemas.microsoft.com/office/drawing/2014/main" pred="{2E8EF212-14BB-60D6-BBF4-07584BA99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583215</xdr:colOff>
      <xdr:row>48</xdr:row>
      <xdr:rowOff>44071</xdr:rowOff>
    </xdr:from>
    <xdr:to>
      <xdr:col>55</xdr:col>
      <xdr:colOff>848031</xdr:colOff>
      <xdr:row>62</xdr:row>
      <xdr:rowOff>142215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98743E-C454-9174-C647-7539DAAE3155}"/>
            </a:ext>
            <a:ext uri="{147F2762-F138-4A5C-976F-8EAC2B608ADB}">
              <a16:predDERef xmlns:a16="http://schemas.microsoft.com/office/drawing/2014/main" pred="{8232B6CD-E5CB-DA4B-BA23-F3599B14F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145824</xdr:rowOff>
    </xdr:from>
    <xdr:to>
      <xdr:col>5</xdr:col>
      <xdr:colOff>992634</xdr:colOff>
      <xdr:row>28</xdr:row>
      <xdr:rowOff>94603</xdr:rowOff>
    </xdr:to>
    <xdr:graphicFrame macro="">
      <xdr:nvGraphicFramePr>
        <xdr:cNvPr id="7" name="Bagan 1">
          <a:extLst>
            <a:ext uri="{FF2B5EF4-FFF2-40B4-BE49-F238E27FC236}">
              <a16:creationId xmlns:a16="http://schemas.microsoft.com/office/drawing/2014/main" id="{09A236C4-D07A-B99D-7887-C3FF249B7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29</xdr:row>
      <xdr:rowOff>26175</xdr:rowOff>
    </xdr:from>
    <xdr:to>
      <xdr:col>5</xdr:col>
      <xdr:colOff>1339695</xdr:colOff>
      <xdr:row>43</xdr:row>
      <xdr:rowOff>167424</xdr:rowOff>
    </xdr:to>
    <xdr:graphicFrame macro="">
      <xdr:nvGraphicFramePr>
        <xdr:cNvPr id="8" name="Bagan 2">
          <a:extLst>
            <a:ext uri="{FF2B5EF4-FFF2-40B4-BE49-F238E27FC236}">
              <a16:creationId xmlns:a16="http://schemas.microsoft.com/office/drawing/2014/main" id="{161624A9-D642-241B-041F-EDA550A98917}"/>
            </a:ext>
            <a:ext uri="{147F2762-F138-4A5C-976F-8EAC2B608ADB}">
              <a16:predDERef xmlns:a16="http://schemas.microsoft.com/office/drawing/2014/main" pred="{09A236C4-D07A-B99D-7887-C3FF249B7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1143001</xdr:colOff>
      <xdr:row>13</xdr:row>
      <xdr:rowOff>115005</xdr:rowOff>
    </xdr:from>
    <xdr:to>
      <xdr:col>14</xdr:col>
      <xdr:colOff>508001</xdr:colOff>
      <xdr:row>27</xdr:row>
      <xdr:rowOff>14111</xdr:rowOff>
    </xdr:to>
    <xdr:graphicFrame macro="">
      <xdr:nvGraphicFramePr>
        <xdr:cNvPr id="9" name="Bagan 3">
          <a:extLst>
            <a:ext uri="{FF2B5EF4-FFF2-40B4-BE49-F238E27FC236}">
              <a16:creationId xmlns:a16="http://schemas.microsoft.com/office/drawing/2014/main" id="{BA5EEBC4-A4A6-744F-6277-E49E34175A1F}"/>
            </a:ext>
            <a:ext uri="{147F2762-F138-4A5C-976F-8EAC2B608ADB}">
              <a16:predDERef xmlns:a16="http://schemas.microsoft.com/office/drawing/2014/main" pred="{161624A9-D642-241B-041F-EDA550A98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581025</xdr:colOff>
      <xdr:row>12</xdr:row>
      <xdr:rowOff>142875</xdr:rowOff>
    </xdr:from>
    <xdr:to>
      <xdr:col>22</xdr:col>
      <xdr:colOff>158823</xdr:colOff>
      <xdr:row>25</xdr:row>
      <xdr:rowOff>130174</xdr:rowOff>
    </xdr:to>
    <xdr:pic>
      <xdr:nvPicPr>
        <xdr:cNvPr id="17" name="Gambar 7">
          <a:extLst>
            <a:ext uri="{FF2B5EF4-FFF2-40B4-BE49-F238E27FC236}">
              <a16:creationId xmlns:a16="http://schemas.microsoft.com/office/drawing/2014/main" id="{E046523C-7AEC-A967-A3CD-B19FBB20FC46}"/>
            </a:ext>
            <a:ext uri="{147F2762-F138-4A5C-976F-8EAC2B608ADB}">
              <a16:predDERef xmlns:a16="http://schemas.microsoft.com/office/drawing/2014/main" pred="{CA0F9EC7-3244-4148-6DC3-F6C6175E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45450" y="3943350"/>
          <a:ext cx="5124450" cy="2381250"/>
        </a:xfrm>
        <a:prstGeom prst="rect">
          <a:avLst/>
        </a:prstGeom>
      </xdr:spPr>
    </xdr:pic>
    <xdr:clientData/>
  </xdr:twoCellAnchor>
  <xdr:twoCellAnchor editAs="oneCell">
    <xdr:from>
      <xdr:col>22</xdr:col>
      <xdr:colOff>1476375</xdr:colOff>
      <xdr:row>12</xdr:row>
      <xdr:rowOff>104775</xdr:rowOff>
    </xdr:from>
    <xdr:to>
      <xdr:col>27</xdr:col>
      <xdr:colOff>551240</xdr:colOff>
      <xdr:row>25</xdr:row>
      <xdr:rowOff>130174</xdr:rowOff>
    </xdr:to>
    <xdr:pic>
      <xdr:nvPicPr>
        <xdr:cNvPr id="23" name="Gambar 9">
          <a:extLst>
            <a:ext uri="{FF2B5EF4-FFF2-40B4-BE49-F238E27FC236}">
              <a16:creationId xmlns:a16="http://schemas.microsoft.com/office/drawing/2014/main" id="{73F97494-9B29-F489-33BA-3361662C8690}"/>
            </a:ext>
            <a:ext uri="{147F2762-F138-4A5C-976F-8EAC2B608ADB}">
              <a16:predDERef xmlns:a16="http://schemas.microsoft.com/office/drawing/2014/main" pred="{E046523C-7AEC-A967-A3CD-B19FBB20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60400" y="3905250"/>
          <a:ext cx="5343525" cy="24193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18</xdr:col>
      <xdr:colOff>88900</xdr:colOff>
      <xdr:row>23</xdr:row>
      <xdr:rowOff>63500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B0D0109-212E-DD9B-E35F-AC2C78531F77}"/>
            </a:ext>
            <a:ext uri="{147F2762-F138-4A5C-976F-8EAC2B608ADB}">
              <a16:predDERef xmlns:a16="http://schemas.microsoft.com/office/drawing/2014/main" pred="{73F97494-9B29-F489-33BA-3361662C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87700" y="3981450"/>
          <a:ext cx="45720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21</xdr:row>
      <xdr:rowOff>0</xdr:rowOff>
    </xdr:from>
    <xdr:to>
      <xdr:col>13</xdr:col>
      <xdr:colOff>295275</xdr:colOff>
      <xdr:row>28</xdr:row>
      <xdr:rowOff>358214</xdr:rowOff>
    </xdr:to>
    <xdr:pic>
      <xdr:nvPicPr>
        <xdr:cNvPr id="18" name="Gambar 17">
          <a:extLst>
            <a:ext uri="{FF2B5EF4-FFF2-40B4-BE49-F238E27FC236}">
              <a16:creationId xmlns:a16="http://schemas.microsoft.com/office/drawing/2014/main" id="{C134EA6A-7CA7-8A52-CC88-E16EC0B07891}"/>
            </a:ext>
            <a:ext uri="{147F2762-F138-4A5C-976F-8EAC2B608ADB}">
              <a16:predDERef xmlns:a16="http://schemas.microsoft.com/office/drawing/2014/main" pred="{786FD76C-D222-C5C5-CBDE-74463C10F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4000500"/>
          <a:ext cx="4562475" cy="1695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13</xdr:col>
      <xdr:colOff>304800</xdr:colOff>
      <xdr:row>41</xdr:row>
      <xdr:rowOff>85725</xdr:rowOff>
    </xdr:to>
    <xdr:pic>
      <xdr:nvPicPr>
        <xdr:cNvPr id="19" name="Gambar 18">
          <a:extLst>
            <a:ext uri="{FF2B5EF4-FFF2-40B4-BE49-F238E27FC236}">
              <a16:creationId xmlns:a16="http://schemas.microsoft.com/office/drawing/2014/main" id="{858AE4AA-04FF-1F18-2345-1BA0322DBB88}"/>
            </a:ext>
            <a:ext uri="{147F2762-F138-4A5C-976F-8EAC2B608ADB}">
              <a16:predDERef xmlns:a16="http://schemas.microsoft.com/office/drawing/2014/main" pred="{C134EA6A-7CA7-8A52-CC88-E16EC0B07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8075" y="5905500"/>
          <a:ext cx="4572000" cy="1990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13</xdr:col>
      <xdr:colOff>304800</xdr:colOff>
      <xdr:row>60</xdr:row>
      <xdr:rowOff>152399</xdr:rowOff>
    </xdr:to>
    <xdr:pic>
      <xdr:nvPicPr>
        <xdr:cNvPr id="21" name="Gambar 20">
          <a:extLst>
            <a:ext uri="{FF2B5EF4-FFF2-40B4-BE49-F238E27FC236}">
              <a16:creationId xmlns:a16="http://schemas.microsoft.com/office/drawing/2014/main" id="{731A833B-2E85-9DEE-18DA-CA506616F316}"/>
            </a:ext>
            <a:ext uri="{147F2762-F138-4A5C-976F-8EAC2B608ADB}">
              <a16:predDERef xmlns:a16="http://schemas.microsoft.com/office/drawing/2014/main" pred="{55335B1B-CDD9-F9B7-FF18-AAEB5DED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8075" y="9906000"/>
          <a:ext cx="4572000" cy="1676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13</xdr:col>
      <xdr:colOff>304800</xdr:colOff>
      <xdr:row>51</xdr:row>
      <xdr:rowOff>47625</xdr:rowOff>
    </xdr:to>
    <xdr:pic>
      <xdr:nvPicPr>
        <xdr:cNvPr id="22" name="Gambar 21">
          <a:extLst>
            <a:ext uri="{FF2B5EF4-FFF2-40B4-BE49-F238E27FC236}">
              <a16:creationId xmlns:a16="http://schemas.microsoft.com/office/drawing/2014/main" id="{4991CA6F-0422-09F9-0FAB-847BEF300A10}"/>
            </a:ext>
            <a:ext uri="{147F2762-F138-4A5C-976F-8EAC2B608ADB}">
              <a16:predDERef xmlns:a16="http://schemas.microsoft.com/office/drawing/2014/main" pred="{731A833B-2E85-9DEE-18DA-CA506616F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58075" y="8001000"/>
          <a:ext cx="4572000" cy="1762125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1</xdr:row>
      <xdr:rowOff>0</xdr:rowOff>
    </xdr:from>
    <xdr:to>
      <xdr:col>13</xdr:col>
      <xdr:colOff>247650</xdr:colOff>
      <xdr:row>10</xdr:row>
      <xdr:rowOff>76200</xdr:rowOff>
    </xdr:to>
    <xdr:pic>
      <xdr:nvPicPr>
        <xdr:cNvPr id="23" name="Gambar 22">
          <a:extLst>
            <a:ext uri="{FF2B5EF4-FFF2-40B4-BE49-F238E27FC236}">
              <a16:creationId xmlns:a16="http://schemas.microsoft.com/office/drawing/2014/main" id="{ECC0A66E-83E0-7318-F2AD-8E49695D31F9}"/>
            </a:ext>
            <a:ext uri="{147F2762-F138-4A5C-976F-8EAC2B608ADB}">
              <a16:predDERef xmlns:a16="http://schemas.microsoft.com/office/drawing/2014/main" pred="{4991CA6F-0422-09F9-0FAB-847BEF30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00925" y="190500"/>
          <a:ext cx="4572000" cy="179070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11</xdr:row>
      <xdr:rowOff>47625</xdr:rowOff>
    </xdr:from>
    <xdr:to>
      <xdr:col>13</xdr:col>
      <xdr:colOff>238125</xdr:colOff>
      <xdr:row>20</xdr:row>
      <xdr:rowOff>114300</xdr:rowOff>
    </xdr:to>
    <xdr:pic>
      <xdr:nvPicPr>
        <xdr:cNvPr id="24" name="Gambar 23">
          <a:extLst>
            <a:ext uri="{FF2B5EF4-FFF2-40B4-BE49-F238E27FC236}">
              <a16:creationId xmlns:a16="http://schemas.microsoft.com/office/drawing/2014/main" id="{391EC376-51F9-88D9-0361-3AB1C3952C4F}"/>
            </a:ext>
            <a:ext uri="{147F2762-F138-4A5C-976F-8EAC2B608ADB}">
              <a16:predDERef xmlns:a16="http://schemas.microsoft.com/office/drawing/2014/main" pred="{ECC0A66E-83E0-7318-F2AD-8E49695D3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00925" y="2143125"/>
          <a:ext cx="4562475" cy="1781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4</xdr:row>
      <xdr:rowOff>142875</xdr:rowOff>
    </xdr:from>
    <xdr:to>
      <xdr:col>15</xdr:col>
      <xdr:colOff>428625</xdr:colOff>
      <xdr:row>20</xdr:row>
      <xdr:rowOff>114300</xdr:rowOff>
    </xdr:to>
    <xdr:graphicFrame macro="">
      <xdr:nvGraphicFramePr>
        <xdr:cNvPr id="21" name="Bagan 3">
          <a:extLst>
            <a:ext uri="{FF2B5EF4-FFF2-40B4-BE49-F238E27FC236}">
              <a16:creationId xmlns:a16="http://schemas.microsoft.com/office/drawing/2014/main" id="{432F2A5C-AF19-ADC0-484E-B4FC9A577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610885</xdr:colOff>
      <xdr:row>23</xdr:row>
      <xdr:rowOff>96455</xdr:rowOff>
    </xdr:from>
    <xdr:to>
      <xdr:col>24</xdr:col>
      <xdr:colOff>445624</xdr:colOff>
      <xdr:row>43</xdr:row>
      <xdr:rowOff>56587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ECA7D-CE8C-042A-B449-895FBD85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303" y="4348544"/>
          <a:ext cx="5943600" cy="3657600"/>
        </a:xfrm>
        <a:prstGeom prst="rect">
          <a:avLst/>
        </a:prstGeom>
      </xdr:spPr>
    </xdr:pic>
    <xdr:clientData/>
  </xdr:twoCellAnchor>
  <xdr:twoCellAnchor>
    <xdr:from>
      <xdr:col>25</xdr:col>
      <xdr:colOff>247908</xdr:colOff>
      <xdr:row>28</xdr:row>
      <xdr:rowOff>116693</xdr:rowOff>
    </xdr:from>
    <xdr:to>
      <xdr:col>30</xdr:col>
      <xdr:colOff>467895</xdr:colOff>
      <xdr:row>42</xdr:row>
      <xdr:rowOff>167105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049EB430-F6B7-1AB1-A2FF-30297B504ED4}"/>
            </a:ext>
            <a:ext uri="{147F2762-F138-4A5C-976F-8EAC2B608ADB}">
              <a16:predDERef xmlns:a16="http://schemas.microsoft.com/office/drawing/2014/main" pred="{8B7ECA7D-CE8C-042A-B449-895FBD85A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496033</xdr:colOff>
      <xdr:row>0</xdr:row>
      <xdr:rowOff>112346</xdr:rowOff>
    </xdr:from>
    <xdr:to>
      <xdr:col>10</xdr:col>
      <xdr:colOff>591283</xdr:colOff>
      <xdr:row>16</xdr:row>
      <xdr:rowOff>64721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63E9DFD-7BAC-DD69-FD49-30C13ECA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0</xdr:row>
      <xdr:rowOff>114300</xdr:rowOff>
    </xdr:from>
    <xdr:to>
      <xdr:col>22</xdr:col>
      <xdr:colOff>323850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A8FEE3-637F-067D-877B-97ECBE8E28A1}"/>
            </a:ext>
            <a:ext uri="{147F2762-F138-4A5C-976F-8EAC2B608ADB}">
              <a16:predDERef xmlns:a16="http://schemas.microsoft.com/office/drawing/2014/main" pred="{863E9DFD-7BAC-DD69-FD49-30C13ECA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457200</xdr:colOff>
      <xdr:row>17</xdr:row>
      <xdr:rowOff>9525</xdr:rowOff>
    </xdr:from>
    <xdr:to>
      <xdr:col>10</xdr:col>
      <xdr:colOff>600075</xdr:colOff>
      <xdr:row>32</xdr:row>
      <xdr:rowOff>152400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4EA1A20D-31EC-7106-0999-D76ABA4877D6}"/>
            </a:ext>
            <a:ext uri="{147F2762-F138-4A5C-976F-8EAC2B608ADB}">
              <a16:predDERef xmlns:a16="http://schemas.microsoft.com/office/drawing/2014/main" pred="{F5A8FEE3-637F-067D-877B-97ECBE8E2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15</xdr:row>
      <xdr:rowOff>85725</xdr:rowOff>
    </xdr:from>
    <xdr:to>
      <xdr:col>22</xdr:col>
      <xdr:colOff>323850</xdr:colOff>
      <xdr:row>29</xdr:row>
      <xdr:rowOff>161925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493AF4DE-5ACB-4FCA-8B45-7D0DA64F979C}"/>
            </a:ext>
            <a:ext uri="{147F2762-F138-4A5C-976F-8EAC2B608ADB}">
              <a16:predDERef xmlns:a16="http://schemas.microsoft.com/office/drawing/2014/main" pred="{4EA1A20D-31EC-7106-0999-D76ABA487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457200</xdr:colOff>
      <xdr:row>33</xdr:row>
      <xdr:rowOff>28575</xdr:rowOff>
    </xdr:from>
    <xdr:to>
      <xdr:col>10</xdr:col>
      <xdr:colOff>600075</xdr:colOff>
      <xdr:row>47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0A8F31-5BD6-BDEB-9A26-1C3CC41C2FF6}"/>
            </a:ext>
            <a:ext uri="{147F2762-F138-4A5C-976F-8EAC2B608ADB}">
              <a16:predDERef xmlns:a16="http://schemas.microsoft.com/office/drawing/2014/main" pred="{493AF4DE-5ACB-4FCA-8B45-7D0DA64F9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28575</xdr:colOff>
      <xdr:row>30</xdr:row>
      <xdr:rowOff>38100</xdr:rowOff>
    </xdr:from>
    <xdr:to>
      <xdr:col>22</xdr:col>
      <xdr:colOff>333375</xdr:colOff>
      <xdr:row>44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C4CB3D-E8DD-6B54-6C40-D9DF751BA8C2}"/>
            </a:ext>
            <a:ext uri="{147F2762-F138-4A5C-976F-8EAC2B608ADB}">
              <a16:predDERef xmlns:a16="http://schemas.microsoft.com/office/drawing/2014/main" pred="{FF0A8F31-5BD6-BDEB-9A26-1C3CC41C2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38100</xdr:colOff>
      <xdr:row>45</xdr:row>
      <xdr:rowOff>123825</xdr:rowOff>
    </xdr:from>
    <xdr:to>
      <xdr:col>22</xdr:col>
      <xdr:colOff>342900</xdr:colOff>
      <xdr:row>60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3DB0719-720C-3D06-8693-9E46037DC16A}"/>
            </a:ext>
            <a:ext uri="{147F2762-F138-4A5C-976F-8EAC2B608ADB}">
              <a16:predDERef xmlns:a16="http://schemas.microsoft.com/office/drawing/2014/main" pred="{1AC4CB3D-E8DD-6B54-6C40-D9DF751BA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78967</xdr:colOff>
      <xdr:row>0</xdr:row>
      <xdr:rowOff>167519</xdr:rowOff>
    </xdr:from>
    <xdr:to>
      <xdr:col>6</xdr:col>
      <xdr:colOff>3085449</xdr:colOff>
      <xdr:row>15</xdr:row>
      <xdr:rowOff>136536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D4A25379-BDB2-4633-9D3F-87D44F557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96630</xdr:colOff>
      <xdr:row>17</xdr:row>
      <xdr:rowOff>69023</xdr:rowOff>
    </xdr:from>
    <xdr:to>
      <xdr:col>6</xdr:col>
      <xdr:colOff>3103112</xdr:colOff>
      <xdr:row>31</xdr:row>
      <xdr:rowOff>33110</xdr:rowOff>
    </xdr:to>
    <xdr:graphicFrame macro="">
      <xdr:nvGraphicFramePr>
        <xdr:cNvPr id="51" name="Chart 2">
          <a:extLst>
            <a:ext uri="{FF2B5EF4-FFF2-40B4-BE49-F238E27FC236}">
              <a16:creationId xmlns:a16="http://schemas.microsoft.com/office/drawing/2014/main" id="{FCE46754-4545-47B5-9525-6ED1AD5A085A}"/>
            </a:ext>
            <a:ext uri="{147F2762-F138-4A5C-976F-8EAC2B608ADB}">
              <a16:predDERef xmlns:a16="http://schemas.microsoft.com/office/drawing/2014/main" pred="{D4A25379-BDB2-4633-9D3F-87D44F557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128715</xdr:colOff>
      <xdr:row>31</xdr:row>
      <xdr:rowOff>145877</xdr:rowOff>
    </xdr:from>
    <xdr:to>
      <xdr:col>6</xdr:col>
      <xdr:colOff>3135197</xdr:colOff>
      <xdr:row>45</xdr:row>
      <xdr:rowOff>117577</xdr:rowOff>
    </xdr:to>
    <xdr:graphicFrame macro="">
      <xdr:nvGraphicFramePr>
        <xdr:cNvPr id="52" name="Chart 3">
          <a:extLst>
            <a:ext uri="{FF2B5EF4-FFF2-40B4-BE49-F238E27FC236}">
              <a16:creationId xmlns:a16="http://schemas.microsoft.com/office/drawing/2014/main" id="{8EB100B9-B65C-4B35-B6A0-73EFDADE1FB9}"/>
            </a:ext>
            <a:ext uri="{147F2762-F138-4A5C-976F-8EAC2B608ADB}">
              <a16:predDERef xmlns:a16="http://schemas.microsoft.com/office/drawing/2014/main" pred="{FCE46754-4545-47B5-9525-6ED1AD5A0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70720</xdr:colOff>
      <xdr:row>45</xdr:row>
      <xdr:rowOff>145440</xdr:rowOff>
    </xdr:from>
    <xdr:to>
      <xdr:col>6</xdr:col>
      <xdr:colOff>3077202</xdr:colOff>
      <xdr:row>59</xdr:row>
      <xdr:rowOff>109527</xdr:rowOff>
    </xdr:to>
    <xdr:graphicFrame macro="">
      <xdr:nvGraphicFramePr>
        <xdr:cNvPr id="53" name="Chart 4">
          <a:extLst>
            <a:ext uri="{FF2B5EF4-FFF2-40B4-BE49-F238E27FC236}">
              <a16:creationId xmlns:a16="http://schemas.microsoft.com/office/drawing/2014/main" id="{C95B5F39-424F-4B78-8D28-35530919FC91}"/>
            </a:ext>
            <a:ext uri="{147F2762-F138-4A5C-976F-8EAC2B608ADB}">
              <a16:predDERef xmlns:a16="http://schemas.microsoft.com/office/drawing/2014/main" pred="{8EB100B9-B65C-4B35-B6A0-73EFDADE1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50397</xdr:colOff>
      <xdr:row>60</xdr:row>
      <xdr:rowOff>51505</xdr:rowOff>
    </xdr:from>
    <xdr:to>
      <xdr:col>6</xdr:col>
      <xdr:colOff>3056879</xdr:colOff>
      <xdr:row>74</xdr:row>
      <xdr:rowOff>15592</xdr:rowOff>
    </xdr:to>
    <xdr:graphicFrame macro="">
      <xdr:nvGraphicFramePr>
        <xdr:cNvPr id="54" name="Chart 5">
          <a:extLst>
            <a:ext uri="{FF2B5EF4-FFF2-40B4-BE49-F238E27FC236}">
              <a16:creationId xmlns:a16="http://schemas.microsoft.com/office/drawing/2014/main" id="{2150E5E3-4989-4787-A5CC-3CAB7E912627}"/>
            </a:ext>
            <a:ext uri="{147F2762-F138-4A5C-976F-8EAC2B608ADB}">
              <a16:predDERef xmlns:a16="http://schemas.microsoft.com/office/drawing/2014/main" pred="{C95B5F39-424F-4B78-8D28-35530919F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65974</xdr:colOff>
      <xdr:row>74</xdr:row>
      <xdr:rowOff>123702</xdr:rowOff>
    </xdr:from>
    <xdr:to>
      <xdr:col>6</xdr:col>
      <xdr:colOff>3072456</xdr:colOff>
      <xdr:row>87</xdr:row>
      <xdr:rowOff>87788</xdr:rowOff>
    </xdr:to>
    <xdr:graphicFrame macro="">
      <xdr:nvGraphicFramePr>
        <xdr:cNvPr id="55" name="Chart 6">
          <a:extLst>
            <a:ext uri="{FF2B5EF4-FFF2-40B4-BE49-F238E27FC236}">
              <a16:creationId xmlns:a16="http://schemas.microsoft.com/office/drawing/2014/main" id="{6344A6D3-6606-47E5-A402-BB8154463E54}"/>
            </a:ext>
            <a:ext uri="{147F2762-F138-4A5C-976F-8EAC2B608ADB}">
              <a16:predDERef xmlns:a16="http://schemas.microsoft.com/office/drawing/2014/main" pred="{2150E5E3-4989-4787-A5CC-3CAB7E912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1821</xdr:colOff>
      <xdr:row>88</xdr:row>
      <xdr:rowOff>1279</xdr:rowOff>
    </xdr:from>
    <xdr:to>
      <xdr:col>6</xdr:col>
      <xdr:colOff>2995472</xdr:colOff>
      <xdr:row>100</xdr:row>
      <xdr:rowOff>151219</xdr:rowOff>
    </xdr:to>
    <xdr:graphicFrame macro="">
      <xdr:nvGraphicFramePr>
        <xdr:cNvPr id="56" name="Chart 7">
          <a:extLst>
            <a:ext uri="{FF2B5EF4-FFF2-40B4-BE49-F238E27FC236}">
              <a16:creationId xmlns:a16="http://schemas.microsoft.com/office/drawing/2014/main" id="{0CF5E824-781A-449A-BE4E-933BBB874ED9}"/>
            </a:ext>
            <a:ext uri="{147F2762-F138-4A5C-976F-8EAC2B608ADB}">
              <a16:predDERef xmlns:a16="http://schemas.microsoft.com/office/drawing/2014/main" pred="{6344A6D3-6606-47E5-A402-BB8154463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128085</xdr:colOff>
      <xdr:row>90</xdr:row>
      <xdr:rowOff>34615</xdr:rowOff>
    </xdr:from>
    <xdr:to>
      <xdr:col>2</xdr:col>
      <xdr:colOff>541650</xdr:colOff>
      <xdr:row>102</xdr:row>
      <xdr:rowOff>188556</xdr:rowOff>
    </xdr:to>
    <xdr:graphicFrame macro="">
      <xdr:nvGraphicFramePr>
        <xdr:cNvPr id="77" name="Chart 8">
          <a:extLst>
            <a:ext uri="{FF2B5EF4-FFF2-40B4-BE49-F238E27FC236}">
              <a16:creationId xmlns:a16="http://schemas.microsoft.com/office/drawing/2014/main" id="{BCE04144-4018-4C2F-82D0-E275991FA490}"/>
            </a:ext>
            <a:ext uri="{147F2762-F138-4A5C-976F-8EAC2B608ADB}">
              <a16:predDERef xmlns:a16="http://schemas.microsoft.com/office/drawing/2014/main" pred="{0CF5E824-781A-449A-BE4E-933BBB874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227211</xdr:colOff>
      <xdr:row>1</xdr:row>
      <xdr:rowOff>1665</xdr:rowOff>
    </xdr:from>
    <xdr:to>
      <xdr:col>11</xdr:col>
      <xdr:colOff>2933197</xdr:colOff>
      <xdr:row>19</xdr:row>
      <xdr:rowOff>53058</xdr:rowOff>
    </xdr:to>
    <xdr:graphicFrame macro="">
      <xdr:nvGraphicFramePr>
        <xdr:cNvPr id="58" name="Chart 9">
          <a:extLst>
            <a:ext uri="{FF2B5EF4-FFF2-40B4-BE49-F238E27FC236}">
              <a16:creationId xmlns:a16="http://schemas.microsoft.com/office/drawing/2014/main" id="{580EACFF-561D-4E7E-A514-99475A1489F6}"/>
            </a:ext>
            <a:ext uri="{147F2762-F138-4A5C-976F-8EAC2B608ADB}">
              <a16:predDERef xmlns:a16="http://schemas.microsoft.com/office/drawing/2014/main" pred="{BCE04144-4018-4C2F-82D0-E275991FA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224118</xdr:colOff>
      <xdr:row>20</xdr:row>
      <xdr:rowOff>31127</xdr:rowOff>
    </xdr:from>
    <xdr:to>
      <xdr:col>11</xdr:col>
      <xdr:colOff>2930104</xdr:colOff>
      <xdr:row>38</xdr:row>
      <xdr:rowOff>94971</xdr:rowOff>
    </xdr:to>
    <xdr:graphicFrame macro="">
      <xdr:nvGraphicFramePr>
        <xdr:cNvPr id="59" name="Chart 10">
          <a:extLst>
            <a:ext uri="{FF2B5EF4-FFF2-40B4-BE49-F238E27FC236}">
              <a16:creationId xmlns:a16="http://schemas.microsoft.com/office/drawing/2014/main" id="{98B9E6A4-5044-4752-B11B-6EA7E6AA3BD7}"/>
            </a:ext>
            <a:ext uri="{147F2762-F138-4A5C-976F-8EAC2B608ADB}">
              <a16:predDERef xmlns:a16="http://schemas.microsoft.com/office/drawing/2014/main" pred="{580EACFF-561D-4E7E-A514-99475A148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262282</xdr:colOff>
      <xdr:row>39</xdr:row>
      <xdr:rowOff>124240</xdr:rowOff>
    </xdr:from>
    <xdr:to>
      <xdr:col>11</xdr:col>
      <xdr:colOff>2968268</xdr:colOff>
      <xdr:row>59</xdr:row>
      <xdr:rowOff>8627</xdr:rowOff>
    </xdr:to>
    <xdr:graphicFrame macro="">
      <xdr:nvGraphicFramePr>
        <xdr:cNvPr id="60" name="Chart 11">
          <a:extLst>
            <a:ext uri="{FF2B5EF4-FFF2-40B4-BE49-F238E27FC236}">
              <a16:creationId xmlns:a16="http://schemas.microsoft.com/office/drawing/2014/main" id="{F402EB0F-CBAF-4EE7-BB37-9FE53597E846}"/>
            </a:ext>
            <a:ext uri="{147F2762-F138-4A5C-976F-8EAC2B608ADB}">
              <a16:predDERef xmlns:a16="http://schemas.microsoft.com/office/drawing/2014/main" pred="{98B9E6A4-5044-4752-B11B-6EA7E6AA3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248478</xdr:colOff>
      <xdr:row>59</xdr:row>
      <xdr:rowOff>151849</xdr:rowOff>
    </xdr:from>
    <xdr:to>
      <xdr:col>11</xdr:col>
      <xdr:colOff>2954464</xdr:colOff>
      <xdr:row>78</xdr:row>
      <xdr:rowOff>50041</xdr:rowOff>
    </xdr:to>
    <xdr:graphicFrame macro="">
      <xdr:nvGraphicFramePr>
        <xdr:cNvPr id="61" name="Chart 12">
          <a:extLst>
            <a:ext uri="{FF2B5EF4-FFF2-40B4-BE49-F238E27FC236}">
              <a16:creationId xmlns:a16="http://schemas.microsoft.com/office/drawing/2014/main" id="{A7240222-503D-42BC-B5EB-75534D972C4D}"/>
            </a:ext>
            <a:ext uri="{147F2762-F138-4A5C-976F-8EAC2B608ADB}">
              <a16:predDERef xmlns:a16="http://schemas.microsoft.com/office/drawing/2014/main" pred="{F402EB0F-CBAF-4EE7-BB37-9FE53597E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84</xdr:row>
      <xdr:rowOff>0</xdr:rowOff>
    </xdr:from>
    <xdr:to>
      <xdr:col>8</xdr:col>
      <xdr:colOff>1449790</xdr:colOff>
      <xdr:row>101</xdr:row>
      <xdr:rowOff>77649</xdr:rowOff>
    </xdr:to>
    <xdr:graphicFrame macro="">
      <xdr:nvGraphicFramePr>
        <xdr:cNvPr id="62" name="Chart 13">
          <a:extLst>
            <a:ext uri="{FF2B5EF4-FFF2-40B4-BE49-F238E27FC236}">
              <a16:creationId xmlns:a16="http://schemas.microsoft.com/office/drawing/2014/main" id="{A6F471AA-CD40-4D02-A020-154E0374F8DF}"/>
            </a:ext>
            <a:ext uri="{147F2762-F138-4A5C-976F-8EAC2B608ADB}">
              <a16:predDERef xmlns:a16="http://schemas.microsoft.com/office/drawing/2014/main" pred="{A7240222-503D-42BC-B5EB-75534D972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49803</xdr:colOff>
      <xdr:row>83</xdr:row>
      <xdr:rowOff>149412</xdr:rowOff>
    </xdr:from>
    <xdr:to>
      <xdr:col>11</xdr:col>
      <xdr:colOff>2753914</xdr:colOff>
      <xdr:row>101</xdr:row>
      <xdr:rowOff>40296</xdr:rowOff>
    </xdr:to>
    <xdr:graphicFrame macro="">
      <xdr:nvGraphicFramePr>
        <xdr:cNvPr id="63" name="Chart 14">
          <a:extLst>
            <a:ext uri="{FF2B5EF4-FFF2-40B4-BE49-F238E27FC236}">
              <a16:creationId xmlns:a16="http://schemas.microsoft.com/office/drawing/2014/main" id="{2E38AA27-793A-47DE-B897-4C4BA8BF8CE2}"/>
            </a:ext>
            <a:ext uri="{147F2762-F138-4A5C-976F-8EAC2B608ADB}">
              <a16:predDERef xmlns:a16="http://schemas.microsoft.com/office/drawing/2014/main" pred="{A6F471AA-CD40-4D02-A020-154E0374F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415637</xdr:colOff>
      <xdr:row>1</xdr:row>
      <xdr:rowOff>8081</xdr:rowOff>
    </xdr:from>
    <xdr:to>
      <xdr:col>21</xdr:col>
      <xdr:colOff>81643</xdr:colOff>
      <xdr:row>24</xdr:row>
      <xdr:rowOff>18143</xdr:rowOff>
    </xdr:to>
    <xdr:graphicFrame macro="">
      <xdr:nvGraphicFramePr>
        <xdr:cNvPr id="64" name="Chart 15">
          <a:extLst>
            <a:ext uri="{FF2B5EF4-FFF2-40B4-BE49-F238E27FC236}">
              <a16:creationId xmlns:a16="http://schemas.microsoft.com/office/drawing/2014/main" id="{AAD2BE28-50CD-4D38-ABC9-56D7BF3D80C3}"/>
            </a:ext>
            <a:ext uri="{147F2762-F138-4A5C-976F-8EAC2B608ADB}">
              <a16:predDERef xmlns:a16="http://schemas.microsoft.com/office/drawing/2014/main" pred="{2E38AA27-793A-47DE-B897-4C4BA8BF8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543529</xdr:colOff>
      <xdr:row>15</xdr:row>
      <xdr:rowOff>52917</xdr:rowOff>
    </xdr:from>
    <xdr:to>
      <xdr:col>25</xdr:col>
      <xdr:colOff>501470</xdr:colOff>
      <xdr:row>34</xdr:row>
      <xdr:rowOff>91269</xdr:rowOff>
    </xdr:to>
    <xdr:graphicFrame macro="">
      <xdr:nvGraphicFramePr>
        <xdr:cNvPr id="65" name="Chart 16">
          <a:extLst>
            <a:ext uri="{FF2B5EF4-FFF2-40B4-BE49-F238E27FC236}">
              <a16:creationId xmlns:a16="http://schemas.microsoft.com/office/drawing/2014/main" id="{246AB4E6-EB87-40DE-9132-105FC4787F37}"/>
            </a:ext>
            <a:ext uri="{147F2762-F138-4A5C-976F-8EAC2B608ADB}">
              <a16:predDERef xmlns:a16="http://schemas.microsoft.com/office/drawing/2014/main" pred="{AAD2BE28-50CD-4D38-ABC9-56D7BF3D8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0</xdr:colOff>
      <xdr:row>26</xdr:row>
      <xdr:rowOff>165274</xdr:rowOff>
    </xdr:from>
    <xdr:to>
      <xdr:col>21</xdr:col>
      <xdr:colOff>26096</xdr:colOff>
      <xdr:row>50</xdr:row>
      <xdr:rowOff>139180</xdr:rowOff>
    </xdr:to>
    <xdr:graphicFrame macro="">
      <xdr:nvGraphicFramePr>
        <xdr:cNvPr id="66" name="Chart 17">
          <a:extLst>
            <a:ext uri="{FF2B5EF4-FFF2-40B4-BE49-F238E27FC236}">
              <a16:creationId xmlns:a16="http://schemas.microsoft.com/office/drawing/2014/main" id="{E89A492E-AF0F-46CB-B87E-CC7E002ED795}"/>
            </a:ext>
            <a:ext uri="{147F2762-F138-4A5C-976F-8EAC2B608ADB}">
              <a16:predDERef xmlns:a16="http://schemas.microsoft.com/office/drawing/2014/main" pred="{246AB4E6-EB87-40DE-9132-105FC4787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34793</xdr:colOff>
      <xdr:row>48</xdr:row>
      <xdr:rowOff>156575</xdr:rowOff>
    </xdr:from>
    <xdr:to>
      <xdr:col>23</xdr:col>
      <xdr:colOff>600520</xdr:colOff>
      <xdr:row>69</xdr:row>
      <xdr:rowOff>0</xdr:rowOff>
    </xdr:to>
    <xdr:graphicFrame macro="">
      <xdr:nvGraphicFramePr>
        <xdr:cNvPr id="67" name="Chart 18">
          <a:extLst>
            <a:ext uri="{FF2B5EF4-FFF2-40B4-BE49-F238E27FC236}">
              <a16:creationId xmlns:a16="http://schemas.microsoft.com/office/drawing/2014/main" id="{2502E905-CFDB-40EC-BD26-AB1B5A8F42E9}"/>
            </a:ext>
            <a:ext uri="{147F2762-F138-4A5C-976F-8EAC2B608ADB}">
              <a16:predDERef xmlns:a16="http://schemas.microsoft.com/office/drawing/2014/main" pred="{E89A492E-AF0F-46CB-B87E-CC7E002ED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105833</xdr:colOff>
      <xdr:row>83</xdr:row>
      <xdr:rowOff>116418</xdr:rowOff>
    </xdr:from>
    <xdr:to>
      <xdr:col>14</xdr:col>
      <xdr:colOff>89476</xdr:colOff>
      <xdr:row>98</xdr:row>
      <xdr:rowOff>113147</xdr:rowOff>
    </xdr:to>
    <xdr:graphicFrame macro="">
      <xdr:nvGraphicFramePr>
        <xdr:cNvPr id="68" name="Chart 19">
          <a:extLst>
            <a:ext uri="{FF2B5EF4-FFF2-40B4-BE49-F238E27FC236}">
              <a16:creationId xmlns:a16="http://schemas.microsoft.com/office/drawing/2014/main" id="{38DA0818-5AC8-4422-9754-00C9336FC047}"/>
            </a:ext>
            <a:ext uri="{147F2762-F138-4A5C-976F-8EAC2B608ADB}">
              <a16:predDERef xmlns:a16="http://schemas.microsoft.com/office/drawing/2014/main" pred="{2502E905-CFDB-40EC-BD26-AB1B5A8F4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127000</xdr:colOff>
      <xdr:row>99</xdr:row>
      <xdr:rowOff>74083</xdr:rowOff>
    </xdr:from>
    <xdr:to>
      <xdr:col>14</xdr:col>
      <xdr:colOff>110643</xdr:colOff>
      <xdr:row>114</xdr:row>
      <xdr:rowOff>70812</xdr:rowOff>
    </xdr:to>
    <xdr:graphicFrame macro="">
      <xdr:nvGraphicFramePr>
        <xdr:cNvPr id="69" name="Chart 20">
          <a:extLst>
            <a:ext uri="{FF2B5EF4-FFF2-40B4-BE49-F238E27FC236}">
              <a16:creationId xmlns:a16="http://schemas.microsoft.com/office/drawing/2014/main" id="{37782EFB-D462-4572-AE6B-E329736D8BF1}"/>
            </a:ext>
            <a:ext uri="{147F2762-F138-4A5C-976F-8EAC2B608ADB}">
              <a16:predDERef xmlns:a16="http://schemas.microsoft.com/office/drawing/2014/main" pred="{38DA0818-5AC8-4422-9754-00C9336FC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239888</xdr:colOff>
      <xdr:row>103</xdr:row>
      <xdr:rowOff>124178</xdr:rowOff>
    </xdr:from>
    <xdr:to>
      <xdr:col>9</xdr:col>
      <xdr:colOff>155222</xdr:colOff>
      <xdr:row>121</xdr:row>
      <xdr:rowOff>70556</xdr:rowOff>
    </xdr:to>
    <xdr:graphicFrame macro="">
      <xdr:nvGraphicFramePr>
        <xdr:cNvPr id="70" name="Chart 24">
          <a:extLst>
            <a:ext uri="{FF2B5EF4-FFF2-40B4-BE49-F238E27FC236}">
              <a16:creationId xmlns:a16="http://schemas.microsoft.com/office/drawing/2014/main" id="{503E4D55-41CB-4B89-8C17-32321A5C60BF}"/>
            </a:ext>
            <a:ext uri="{147F2762-F138-4A5C-976F-8EAC2B608ADB}">
              <a16:predDERef xmlns:a16="http://schemas.microsoft.com/office/drawing/2014/main" pred="{37782EFB-D462-4572-AE6B-E329736D8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84666</xdr:colOff>
      <xdr:row>121</xdr:row>
      <xdr:rowOff>67734</xdr:rowOff>
    </xdr:from>
    <xdr:to>
      <xdr:col>9</xdr:col>
      <xdr:colOff>522111</xdr:colOff>
      <xdr:row>136</xdr:row>
      <xdr:rowOff>59267</xdr:rowOff>
    </xdr:to>
    <xdr:graphicFrame macro="">
      <xdr:nvGraphicFramePr>
        <xdr:cNvPr id="71" name="Chart 25">
          <a:extLst>
            <a:ext uri="{FF2B5EF4-FFF2-40B4-BE49-F238E27FC236}">
              <a16:creationId xmlns:a16="http://schemas.microsoft.com/office/drawing/2014/main" id="{684BC285-55D4-4CCC-8650-23186A3CD6E7}"/>
            </a:ext>
            <a:ext uri="{147F2762-F138-4A5C-976F-8EAC2B608ADB}">
              <a16:predDERef xmlns:a16="http://schemas.microsoft.com/office/drawing/2014/main" pred="{503E4D55-41CB-4B89-8C17-32321A5C6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</xdr:col>
      <xdr:colOff>449792</xdr:colOff>
      <xdr:row>84</xdr:row>
      <xdr:rowOff>14816</xdr:rowOff>
    </xdr:from>
    <xdr:to>
      <xdr:col>19</xdr:col>
      <xdr:colOff>206375</xdr:colOff>
      <xdr:row>99</xdr:row>
      <xdr:rowOff>59266</xdr:rowOff>
    </xdr:to>
    <xdr:graphicFrame macro="">
      <xdr:nvGraphicFramePr>
        <xdr:cNvPr id="72" name="Chart 26">
          <a:extLst>
            <a:ext uri="{FF2B5EF4-FFF2-40B4-BE49-F238E27FC236}">
              <a16:creationId xmlns:a16="http://schemas.microsoft.com/office/drawing/2014/main" id="{185E10FB-3A30-4534-A51B-A3FBB516385D}"/>
            </a:ext>
            <a:ext uri="{147F2762-F138-4A5C-976F-8EAC2B608ADB}">
              <a16:predDERef xmlns:a16="http://schemas.microsoft.com/office/drawing/2014/main" pred="{684BC285-55D4-4CCC-8650-23186A3CD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</xdr:col>
      <xdr:colOff>386291</xdr:colOff>
      <xdr:row>100</xdr:row>
      <xdr:rowOff>4233</xdr:rowOff>
    </xdr:from>
    <xdr:to>
      <xdr:col>19</xdr:col>
      <xdr:colOff>142874</xdr:colOff>
      <xdr:row>115</xdr:row>
      <xdr:rowOff>48683</xdr:rowOff>
    </xdr:to>
    <xdr:graphicFrame macro="">
      <xdr:nvGraphicFramePr>
        <xdr:cNvPr id="73" name="Chart 27">
          <a:extLst>
            <a:ext uri="{FF2B5EF4-FFF2-40B4-BE49-F238E27FC236}">
              <a16:creationId xmlns:a16="http://schemas.microsoft.com/office/drawing/2014/main" id="{2B660014-0347-420F-959E-21672D4FE214}"/>
            </a:ext>
            <a:ext uri="{147F2762-F138-4A5C-976F-8EAC2B608ADB}">
              <a16:predDERef xmlns:a16="http://schemas.microsoft.com/office/drawing/2014/main" pred="{185E10FB-3A30-4534-A51B-A3FBB5163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156633</xdr:colOff>
      <xdr:row>15</xdr:row>
      <xdr:rowOff>8466</xdr:rowOff>
    </xdr:from>
    <xdr:to>
      <xdr:col>5</xdr:col>
      <xdr:colOff>3115733</xdr:colOff>
      <xdr:row>25</xdr:row>
      <xdr:rowOff>110066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0D7E9-79BC-458A-B3F3-E7839D40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106893</xdr:colOff>
      <xdr:row>37</xdr:row>
      <xdr:rowOff>32539</xdr:rowOff>
    </xdr:from>
    <xdr:to>
      <xdr:col>5</xdr:col>
      <xdr:colOff>3152968</xdr:colOff>
      <xdr:row>47</xdr:row>
      <xdr:rowOff>82827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20247F-ABE7-440E-8550-AB92FF300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129481</xdr:colOff>
      <xdr:row>48</xdr:row>
      <xdr:rowOff>62746</xdr:rowOff>
    </xdr:from>
    <xdr:to>
      <xdr:col>5</xdr:col>
      <xdr:colOff>3008789</xdr:colOff>
      <xdr:row>59</xdr:row>
      <xdr:rowOff>104667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35E616-AF47-40BA-B30C-F2118F9AF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134548</xdr:colOff>
      <xdr:row>26</xdr:row>
      <xdr:rowOff>8467</xdr:rowOff>
    </xdr:from>
    <xdr:to>
      <xdr:col>5</xdr:col>
      <xdr:colOff>3115733</xdr:colOff>
      <xdr:row>36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136ABF-7739-43CC-A063-DA7ABF3DF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111723</xdr:colOff>
      <xdr:row>60</xdr:row>
      <xdr:rowOff>21895</xdr:rowOff>
    </xdr:from>
    <xdr:to>
      <xdr:col>5</xdr:col>
      <xdr:colOff>2897644</xdr:colOff>
      <xdr:row>70</xdr:row>
      <xdr:rowOff>161989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DF84B4-CB61-4E44-B203-4A0EC1FA1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100725</xdr:colOff>
      <xdr:row>71</xdr:row>
      <xdr:rowOff>102766</xdr:rowOff>
    </xdr:from>
    <xdr:to>
      <xdr:col>5</xdr:col>
      <xdr:colOff>2817356</xdr:colOff>
      <xdr:row>86</xdr:row>
      <xdr:rowOff>36493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5DF35A-7964-4F52-A64A-9AC91B694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78967</xdr:colOff>
      <xdr:row>1</xdr:row>
      <xdr:rowOff>4233</xdr:rowOff>
    </xdr:from>
    <xdr:to>
      <xdr:col>5</xdr:col>
      <xdr:colOff>3085449</xdr:colOff>
      <xdr:row>13</xdr:row>
      <xdr:rowOff>154679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E53F67-38D4-4D3D-AE95-69CAB263F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62119</xdr:colOff>
      <xdr:row>14</xdr:row>
      <xdr:rowOff>6902</xdr:rowOff>
    </xdr:from>
    <xdr:to>
      <xdr:col>5</xdr:col>
      <xdr:colOff>3068601</xdr:colOff>
      <xdr:row>26</xdr:row>
      <xdr:rowOff>157348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3E5482-D61A-4684-A489-9453EA674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1685-B850-4146-9675-FF1587D40B5B}">
  <dimension ref="A1:P161"/>
  <sheetViews>
    <sheetView zoomScale="115" zoomScaleNormal="55" workbookViewId="0">
      <selection activeCell="G98" sqref="G98"/>
    </sheetView>
  </sheetViews>
  <sheetFormatPr baseColWidth="10" defaultColWidth="8.83203125" defaultRowHeight="15" x14ac:dyDescent="0.2"/>
  <cols>
    <col min="1" max="1" width="39.6640625" customWidth="1"/>
    <col min="2" max="2" width="14.6640625" style="57" bestFit="1" customWidth="1"/>
    <col min="3" max="4" width="14.6640625" style="138" customWidth="1"/>
    <col min="5" max="6" width="8.6640625" style="115"/>
    <col min="7" max="7" width="45.6640625" customWidth="1"/>
    <col min="8" max="8" width="35.5" customWidth="1"/>
    <col min="9" max="9" width="23.5" customWidth="1"/>
    <col min="10" max="10" width="8.6640625" customWidth="1"/>
    <col min="12" max="12" width="43.5" customWidth="1"/>
    <col min="13" max="13" width="35.1640625" customWidth="1"/>
    <col min="14" max="14" width="17.5" customWidth="1"/>
    <col min="15" max="15" width="33.33203125" bestFit="1" customWidth="1"/>
    <col min="16" max="16" width="9.1640625" bestFit="1" customWidth="1"/>
  </cols>
  <sheetData>
    <row r="1" spans="1:14" x14ac:dyDescent="0.2">
      <c r="A1" t="s">
        <v>0</v>
      </c>
      <c r="F1" s="137"/>
      <c r="G1" s="8"/>
      <c r="H1" s="8"/>
      <c r="I1" s="8"/>
      <c r="J1" s="8"/>
      <c r="K1" s="8"/>
      <c r="L1" s="8"/>
    </row>
    <row r="2" spans="1:14" x14ac:dyDescent="0.2">
      <c r="A2" t="s">
        <v>1</v>
      </c>
      <c r="B2" s="57" t="s">
        <v>2</v>
      </c>
      <c r="C2" s="142" t="s">
        <v>3</v>
      </c>
      <c r="D2" s="142"/>
      <c r="H2" t="s">
        <v>4</v>
      </c>
      <c r="M2" t="s">
        <v>5</v>
      </c>
    </row>
    <row r="3" spans="1:14" ht="16" thickBot="1" x14ac:dyDescent="0.25">
      <c r="A3" t="s">
        <v>6</v>
      </c>
      <c r="B3" s="57">
        <f>SUM(B4:B11)</f>
        <v>3791531</v>
      </c>
      <c r="C3" s="57">
        <f>SUM(C4:C10)</f>
        <v>2645315</v>
      </c>
      <c r="D3" s="57"/>
      <c r="H3" s="147" t="s">
        <v>6</v>
      </c>
      <c r="I3" s="152">
        <v>249289947.28</v>
      </c>
      <c r="M3" s="147" t="s">
        <v>6</v>
      </c>
      <c r="N3" s="150">
        <v>617034231.38</v>
      </c>
    </row>
    <row r="4" spans="1:14" x14ac:dyDescent="0.2">
      <c r="A4" s="129" t="s">
        <v>7</v>
      </c>
      <c r="B4" s="57">
        <v>388451</v>
      </c>
      <c r="C4" s="136">
        <v>451716</v>
      </c>
      <c r="D4" s="136"/>
      <c r="H4" t="s">
        <v>8</v>
      </c>
      <c r="I4" s="32">
        <v>22801467</v>
      </c>
      <c r="M4" s="132" t="s">
        <v>9</v>
      </c>
      <c r="N4" s="130">
        <v>67581784</v>
      </c>
    </row>
    <row r="5" spans="1:14" x14ac:dyDescent="0.2">
      <c r="A5" s="129" t="s">
        <v>10</v>
      </c>
      <c r="B5" s="57">
        <v>212437</v>
      </c>
      <c r="C5" s="136">
        <v>143190</v>
      </c>
      <c r="D5" s="136"/>
      <c r="H5" t="s">
        <v>11</v>
      </c>
      <c r="I5" s="32">
        <v>20868954</v>
      </c>
      <c r="M5" s="132" t="s">
        <v>12</v>
      </c>
      <c r="N5" s="130">
        <v>65633896</v>
      </c>
    </row>
    <row r="6" spans="1:14" x14ac:dyDescent="0.2">
      <c r="A6" s="129" t="s">
        <v>13</v>
      </c>
      <c r="B6" s="57">
        <v>120301</v>
      </c>
      <c r="C6" s="136">
        <v>410915</v>
      </c>
      <c r="D6" s="136"/>
      <c r="H6" t="s">
        <v>14</v>
      </c>
      <c r="I6" s="32">
        <v>18658255</v>
      </c>
      <c r="M6" s="132" t="s">
        <v>15</v>
      </c>
      <c r="N6" s="130">
        <v>62215020</v>
      </c>
    </row>
    <row r="7" spans="1:14" x14ac:dyDescent="0.2">
      <c r="A7" s="129" t="s">
        <v>16</v>
      </c>
      <c r="B7" s="57">
        <v>415708</v>
      </c>
      <c r="C7" s="136">
        <v>438402</v>
      </c>
      <c r="D7" s="136"/>
      <c r="H7" t="s">
        <v>17</v>
      </c>
      <c r="I7" s="32">
        <v>17550022.379999999</v>
      </c>
      <c r="M7" s="132" t="s">
        <v>18</v>
      </c>
      <c r="N7" s="130">
        <v>43944136</v>
      </c>
    </row>
    <row r="8" spans="1:14" x14ac:dyDescent="0.2">
      <c r="A8" s="129" t="s">
        <v>19</v>
      </c>
      <c r="B8" s="57">
        <v>933</v>
      </c>
      <c r="C8" s="136">
        <v>2231</v>
      </c>
      <c r="D8" s="136"/>
      <c r="H8" t="s">
        <v>20</v>
      </c>
      <c r="I8" s="32">
        <v>16607872</v>
      </c>
      <c r="M8" s="132" t="s">
        <v>21</v>
      </c>
      <c r="N8" s="130">
        <v>43177402</v>
      </c>
    </row>
    <row r="9" spans="1:14" x14ac:dyDescent="0.2">
      <c r="A9" s="129" t="s">
        <v>22</v>
      </c>
      <c r="B9" s="150">
        <v>2511781</v>
      </c>
      <c r="C9" s="136">
        <v>1113064</v>
      </c>
      <c r="D9" s="136"/>
      <c r="H9" t="s">
        <v>23</v>
      </c>
      <c r="I9" s="32">
        <v>15442807</v>
      </c>
      <c r="M9" s="132" t="s">
        <v>24</v>
      </c>
      <c r="N9" s="130">
        <v>37890261</v>
      </c>
    </row>
    <row r="10" spans="1:14" x14ac:dyDescent="0.2">
      <c r="A10" s="129" t="s">
        <v>25</v>
      </c>
      <c r="B10" s="57">
        <v>129778</v>
      </c>
      <c r="C10" s="136">
        <v>85797</v>
      </c>
      <c r="D10" s="136"/>
      <c r="H10" t="s">
        <v>26</v>
      </c>
      <c r="I10" s="32">
        <v>15437434</v>
      </c>
      <c r="M10" s="132" t="s">
        <v>27</v>
      </c>
      <c r="N10" s="130">
        <v>30028776.379999999</v>
      </c>
    </row>
    <row r="11" spans="1:14" x14ac:dyDescent="0.2">
      <c r="A11" s="167" t="s">
        <v>28</v>
      </c>
      <c r="B11" s="57">
        <v>12142</v>
      </c>
      <c r="H11" t="s">
        <v>29</v>
      </c>
      <c r="I11" s="32">
        <v>9971947</v>
      </c>
      <c r="M11" s="132" t="s">
        <v>30</v>
      </c>
      <c r="N11" s="130">
        <v>29688346</v>
      </c>
    </row>
    <row r="12" spans="1:14" x14ac:dyDescent="0.2">
      <c r="D12" s="142"/>
      <c r="H12" t="s">
        <v>31</v>
      </c>
      <c r="I12" s="32">
        <v>8622033</v>
      </c>
      <c r="M12" s="132" t="s">
        <v>32</v>
      </c>
      <c r="N12" s="130">
        <v>27519452</v>
      </c>
    </row>
    <row r="13" spans="1:14" x14ac:dyDescent="0.2">
      <c r="A13" t="s">
        <v>33</v>
      </c>
      <c r="B13" s="57">
        <v>2026</v>
      </c>
      <c r="C13" s="142">
        <v>2025</v>
      </c>
      <c r="D13" s="57"/>
      <c r="H13" t="s">
        <v>34</v>
      </c>
      <c r="I13" s="32">
        <v>6061875</v>
      </c>
      <c r="M13" s="132" t="s">
        <v>35</v>
      </c>
      <c r="N13" s="130">
        <v>23131460</v>
      </c>
    </row>
    <row r="14" spans="1:14" x14ac:dyDescent="0.2">
      <c r="A14" t="s">
        <v>6</v>
      </c>
      <c r="B14" s="57">
        <f>SUM(B15:B22)</f>
        <v>3463125</v>
      </c>
      <c r="C14" s="57">
        <f>SUM(C15:C21)</f>
        <v>2396848</v>
      </c>
      <c r="D14" s="143"/>
      <c r="I14" s="123"/>
    </row>
    <row r="15" spans="1:14" x14ac:dyDescent="0.2">
      <c r="A15" s="129" t="s">
        <v>36</v>
      </c>
      <c r="B15" s="57">
        <v>318296</v>
      </c>
      <c r="C15" s="143">
        <v>389558</v>
      </c>
      <c r="H15" t="s">
        <v>37</v>
      </c>
      <c r="M15" t="s">
        <v>38</v>
      </c>
    </row>
    <row r="16" spans="1:14" ht="16" thickBot="1" x14ac:dyDescent="0.25">
      <c r="A16" s="129" t="s">
        <v>10</v>
      </c>
      <c r="B16" s="57">
        <v>169210</v>
      </c>
      <c r="C16" s="138">
        <v>116500</v>
      </c>
      <c r="H16" s="147" t="s">
        <v>6</v>
      </c>
      <c r="I16" s="148">
        <v>91774708828</v>
      </c>
      <c r="M16" s="147" t="s">
        <v>6</v>
      </c>
      <c r="N16" s="150">
        <v>147252589.75</v>
      </c>
    </row>
    <row r="17" spans="1:14" x14ac:dyDescent="0.2">
      <c r="A17" s="129" t="s">
        <v>13</v>
      </c>
      <c r="B17" s="57">
        <v>104953</v>
      </c>
      <c r="C17" s="138">
        <v>337554</v>
      </c>
      <c r="H17" t="s">
        <v>20</v>
      </c>
      <c r="I17" s="32">
        <v>12684265</v>
      </c>
      <c r="M17" s="131" t="s">
        <v>12</v>
      </c>
      <c r="N17" s="130">
        <v>20542695</v>
      </c>
    </row>
    <row r="18" spans="1:14" x14ac:dyDescent="0.2">
      <c r="A18" s="129" t="s">
        <v>16</v>
      </c>
      <c r="B18" s="57">
        <v>352933</v>
      </c>
      <c r="C18" s="138">
        <v>380466</v>
      </c>
      <c r="D18" s="143"/>
      <c r="H18" t="s">
        <v>8</v>
      </c>
      <c r="I18" s="32">
        <v>9313346</v>
      </c>
      <c r="M18" s="131" t="s">
        <v>9</v>
      </c>
      <c r="N18" s="130">
        <v>16244253</v>
      </c>
    </row>
    <row r="19" spans="1:14" x14ac:dyDescent="0.2">
      <c r="A19" s="129" t="s">
        <v>19</v>
      </c>
      <c r="B19" s="57">
        <v>607</v>
      </c>
      <c r="C19" s="143">
        <v>2025</v>
      </c>
      <c r="H19" t="s">
        <v>17</v>
      </c>
      <c r="I19" s="32">
        <v>8517372.3399999999</v>
      </c>
      <c r="M19" s="131" t="s">
        <v>32</v>
      </c>
      <c r="N19" s="130">
        <v>11633501</v>
      </c>
    </row>
    <row r="20" spans="1:14" x14ac:dyDescent="0.2">
      <c r="A20" s="129" t="s">
        <v>22</v>
      </c>
      <c r="B20" s="150">
        <v>2496976</v>
      </c>
      <c r="C20" s="138">
        <v>1101069</v>
      </c>
      <c r="H20" t="s">
        <v>26</v>
      </c>
      <c r="I20" s="32">
        <v>6897480</v>
      </c>
      <c r="M20" s="131" t="s">
        <v>35</v>
      </c>
      <c r="N20" s="130">
        <v>9547104</v>
      </c>
    </row>
    <row r="21" spans="1:14" x14ac:dyDescent="0.2">
      <c r="A21" s="129" t="s">
        <v>25</v>
      </c>
      <c r="B21" s="57">
        <v>8030</v>
      </c>
      <c r="C21" s="138">
        <v>69676</v>
      </c>
      <c r="H21" t="s">
        <v>11</v>
      </c>
      <c r="I21" s="32">
        <v>6218334</v>
      </c>
      <c r="M21" s="131" t="s">
        <v>21</v>
      </c>
      <c r="N21" s="130">
        <v>8980958</v>
      </c>
    </row>
    <row r="22" spans="1:14" x14ac:dyDescent="0.2">
      <c r="A22" s="167" t="s">
        <v>28</v>
      </c>
      <c r="B22" s="57">
        <v>12120</v>
      </c>
      <c r="D22" s="142"/>
      <c r="H22" t="s">
        <v>29</v>
      </c>
      <c r="I22" s="32">
        <v>4385035</v>
      </c>
      <c r="M22" s="131" t="s">
        <v>39</v>
      </c>
      <c r="N22" s="130">
        <v>7764902</v>
      </c>
    </row>
    <row r="23" spans="1:14" x14ac:dyDescent="0.2">
      <c r="D23" s="57"/>
      <c r="H23" t="s">
        <v>14</v>
      </c>
      <c r="I23" s="32">
        <v>4320942</v>
      </c>
      <c r="M23" s="131" t="s">
        <v>15</v>
      </c>
      <c r="N23" s="130">
        <v>7737193</v>
      </c>
    </row>
    <row r="24" spans="1:14" x14ac:dyDescent="0.2">
      <c r="A24" t="s">
        <v>40</v>
      </c>
      <c r="B24" s="57">
        <v>2026</v>
      </c>
      <c r="C24" s="142">
        <v>2025</v>
      </c>
      <c r="H24" t="s">
        <v>23</v>
      </c>
      <c r="I24" s="32">
        <v>3283408</v>
      </c>
      <c r="M24" s="131" t="s">
        <v>41</v>
      </c>
      <c r="N24" s="130">
        <v>7734754</v>
      </c>
    </row>
    <row r="25" spans="1:14" x14ac:dyDescent="0.2">
      <c r="A25" t="s">
        <v>6</v>
      </c>
      <c r="B25" s="57">
        <f>SUM(B26:B33)</f>
        <v>131105</v>
      </c>
      <c r="C25" s="57">
        <f>SUM(C26:C32)</f>
        <v>273673</v>
      </c>
      <c r="D25" s="144"/>
      <c r="H25" t="s">
        <v>31</v>
      </c>
      <c r="I25" s="32">
        <v>3021491</v>
      </c>
      <c r="M25" s="131" t="s">
        <v>24</v>
      </c>
      <c r="N25" s="130">
        <v>7012069</v>
      </c>
    </row>
    <row r="26" spans="1:14" x14ac:dyDescent="0.2">
      <c r="A26" s="129" t="s">
        <v>36</v>
      </c>
      <c r="B26" s="57">
        <v>11902</v>
      </c>
      <c r="C26" s="138">
        <v>1594</v>
      </c>
      <c r="H26" t="s">
        <v>34</v>
      </c>
      <c r="I26" s="32">
        <v>2161850</v>
      </c>
      <c r="M26" s="131" t="s">
        <v>30</v>
      </c>
      <c r="N26" s="130">
        <v>6842973</v>
      </c>
    </row>
    <row r="27" spans="1:14" x14ac:dyDescent="0.2">
      <c r="A27" s="129" t="s">
        <v>10</v>
      </c>
      <c r="B27" s="57">
        <v>-7144</v>
      </c>
      <c r="C27" s="144">
        <v>34288</v>
      </c>
    </row>
    <row r="28" spans="1:14" x14ac:dyDescent="0.2">
      <c r="A28" s="129" t="s">
        <v>13</v>
      </c>
      <c r="B28" s="57">
        <v>71356</v>
      </c>
      <c r="C28" s="138">
        <v>145873</v>
      </c>
      <c r="H28" t="s">
        <v>42</v>
      </c>
      <c r="M28" t="s">
        <v>43</v>
      </c>
    </row>
    <row r="29" spans="1:14" ht="16" thickBot="1" x14ac:dyDescent="0.25">
      <c r="A29" s="129" t="s">
        <v>16</v>
      </c>
      <c r="B29" s="57">
        <v>41333</v>
      </c>
      <c r="C29" s="138">
        <v>70355</v>
      </c>
      <c r="H29" s="147" t="s">
        <v>6</v>
      </c>
      <c r="I29" s="152">
        <v>11986036555</v>
      </c>
      <c r="M29" s="147" t="s">
        <v>6</v>
      </c>
      <c r="N29" s="150">
        <v>16217950.699999999</v>
      </c>
    </row>
    <row r="30" spans="1:14" x14ac:dyDescent="0.2">
      <c r="A30" s="129" t="s">
        <v>19</v>
      </c>
      <c r="B30" s="57">
        <v>3726</v>
      </c>
      <c r="C30" s="138">
        <v>2400</v>
      </c>
      <c r="H30" t="s">
        <v>26</v>
      </c>
      <c r="I30" s="32">
        <v>2750817</v>
      </c>
      <c r="M30" s="131" t="s">
        <v>15</v>
      </c>
      <c r="N30" s="130">
        <v>1868524</v>
      </c>
    </row>
    <row r="31" spans="1:14" x14ac:dyDescent="0.2">
      <c r="A31" s="129" t="s">
        <v>22</v>
      </c>
      <c r="B31" s="150">
        <v>11487</v>
      </c>
      <c r="C31" s="138">
        <v>15405</v>
      </c>
      <c r="H31" t="s">
        <v>8</v>
      </c>
      <c r="I31" s="32">
        <v>1710575</v>
      </c>
      <c r="M31" s="131" t="s">
        <v>24</v>
      </c>
      <c r="N31" s="130">
        <v>1603290</v>
      </c>
    </row>
    <row r="32" spans="1:14" x14ac:dyDescent="0.2">
      <c r="A32" s="129" t="s">
        <v>25</v>
      </c>
      <c r="B32" s="57">
        <v>487</v>
      </c>
      <c r="C32" s="138">
        <v>3758</v>
      </c>
      <c r="H32" t="s">
        <v>44</v>
      </c>
      <c r="I32" s="32">
        <v>772602</v>
      </c>
      <c r="M32" s="131" t="s">
        <v>12</v>
      </c>
      <c r="N32" s="130">
        <v>1201012</v>
      </c>
    </row>
    <row r="33" spans="1:14" x14ac:dyDescent="0.2">
      <c r="A33" s="167" t="s">
        <v>28</v>
      </c>
      <c r="B33" s="57">
        <v>-2042</v>
      </c>
      <c r="D33" s="142"/>
      <c r="H33" t="s">
        <v>29</v>
      </c>
      <c r="I33" s="32">
        <v>595936</v>
      </c>
      <c r="M33" s="131" t="s">
        <v>30</v>
      </c>
      <c r="N33" s="130">
        <v>1158058</v>
      </c>
    </row>
    <row r="34" spans="1:14" x14ac:dyDescent="0.2">
      <c r="D34" s="57"/>
      <c r="H34" t="s">
        <v>17</v>
      </c>
      <c r="I34" s="32">
        <v>442125.43</v>
      </c>
      <c r="M34" s="131" t="s">
        <v>45</v>
      </c>
      <c r="N34" s="130">
        <v>889819</v>
      </c>
    </row>
    <row r="35" spans="1:14" x14ac:dyDescent="0.2">
      <c r="A35" t="s">
        <v>46</v>
      </c>
      <c r="B35" s="57">
        <v>2026</v>
      </c>
      <c r="C35" s="142">
        <v>2025</v>
      </c>
      <c r="D35" s="145"/>
      <c r="H35" t="s">
        <v>47</v>
      </c>
      <c r="I35" s="32">
        <v>415959</v>
      </c>
      <c r="M35" s="131" t="s">
        <v>21</v>
      </c>
      <c r="N35" s="130">
        <v>853913</v>
      </c>
    </row>
    <row r="36" spans="1:14" x14ac:dyDescent="0.2">
      <c r="A36" t="s">
        <v>6</v>
      </c>
      <c r="B36" s="57">
        <f>SUM(B37:B44)</f>
        <v>7755460</v>
      </c>
      <c r="C36" s="57">
        <f>SUM(C37:C43)</f>
        <v>6630811</v>
      </c>
      <c r="D36" s="145"/>
      <c r="H36" t="s">
        <v>11</v>
      </c>
      <c r="I36" s="32">
        <v>398078</v>
      </c>
      <c r="M36" s="131" t="s">
        <v>9</v>
      </c>
      <c r="N36" s="130">
        <v>824494</v>
      </c>
    </row>
    <row r="37" spans="1:14" x14ac:dyDescent="0.2">
      <c r="A37" s="129" t="s">
        <v>36</v>
      </c>
      <c r="B37" s="57">
        <v>2780048</v>
      </c>
      <c r="C37" s="145">
        <v>2557083</v>
      </c>
      <c r="D37" s="146"/>
      <c r="H37" t="s">
        <v>34</v>
      </c>
      <c r="I37" s="32">
        <v>375075</v>
      </c>
      <c r="M37" s="131" t="s">
        <v>18</v>
      </c>
      <c r="N37" s="130">
        <v>807599</v>
      </c>
    </row>
    <row r="38" spans="1:14" x14ac:dyDescent="0.2">
      <c r="A38" s="129" t="s">
        <v>10</v>
      </c>
      <c r="B38" s="57">
        <v>1576800</v>
      </c>
      <c r="C38" s="145">
        <v>1508956</v>
      </c>
      <c r="D38" s="136"/>
      <c r="H38" t="s">
        <v>14</v>
      </c>
      <c r="I38" s="32">
        <v>360608</v>
      </c>
      <c r="M38" s="131" t="s">
        <v>32</v>
      </c>
      <c r="N38" s="130">
        <v>642520</v>
      </c>
    </row>
    <row r="39" spans="1:14" x14ac:dyDescent="0.2">
      <c r="A39" s="129" t="s">
        <v>13</v>
      </c>
      <c r="B39" s="57">
        <v>-2005410</v>
      </c>
      <c r="C39" s="146">
        <v>-1127393</v>
      </c>
      <c r="D39" s="143"/>
      <c r="H39" t="s">
        <v>20</v>
      </c>
      <c r="I39" s="32">
        <v>353825</v>
      </c>
      <c r="M39" s="131" t="s">
        <v>48</v>
      </c>
      <c r="N39" s="130">
        <v>619598</v>
      </c>
    </row>
    <row r="40" spans="1:14" x14ac:dyDescent="0.2">
      <c r="A40" s="129" t="s">
        <v>16</v>
      </c>
      <c r="B40" s="57">
        <v>1799317</v>
      </c>
      <c r="C40" s="136">
        <v>1606042</v>
      </c>
      <c r="D40" s="136"/>
    </row>
    <row r="41" spans="1:14" x14ac:dyDescent="0.2">
      <c r="A41" s="129" t="s">
        <v>19</v>
      </c>
      <c r="B41" s="57">
        <v>897366</v>
      </c>
      <c r="C41" s="143">
        <v>775497</v>
      </c>
      <c r="D41" s="136"/>
      <c r="H41" t="s">
        <v>49</v>
      </c>
      <c r="M41" t="s">
        <v>50</v>
      </c>
    </row>
    <row r="42" spans="1:14" x14ac:dyDescent="0.2">
      <c r="A42" s="129" t="s">
        <v>22</v>
      </c>
      <c r="B42" s="150">
        <v>1188375</v>
      </c>
      <c r="C42" s="136">
        <v>975080</v>
      </c>
      <c r="H42" s="147" t="s">
        <v>6</v>
      </c>
      <c r="I42" s="148">
        <v>1774230768</v>
      </c>
      <c r="M42" s="147" t="s">
        <v>6</v>
      </c>
      <c r="N42" s="150">
        <v>-500478.41</v>
      </c>
    </row>
    <row r="43" spans="1:14" x14ac:dyDescent="0.2">
      <c r="A43" s="129" t="s">
        <v>25</v>
      </c>
      <c r="B43" s="57">
        <v>908116</v>
      </c>
      <c r="C43" s="136">
        <v>335546</v>
      </c>
      <c r="D43" s="142"/>
      <c r="H43" t="s">
        <v>8</v>
      </c>
      <c r="I43" s="32">
        <v>176062</v>
      </c>
      <c r="M43" s="130" t="s">
        <v>21</v>
      </c>
      <c r="N43" s="130">
        <v>401972</v>
      </c>
    </row>
    <row r="44" spans="1:14" x14ac:dyDescent="0.2">
      <c r="A44" s="167" t="s">
        <v>28</v>
      </c>
      <c r="B44" s="57">
        <v>610848</v>
      </c>
      <c r="D44" s="57"/>
      <c r="H44" t="s">
        <v>51</v>
      </c>
      <c r="I44" s="32">
        <v>165888</v>
      </c>
      <c r="M44" s="130" t="s">
        <v>12</v>
      </c>
      <c r="N44" s="130">
        <v>144845</v>
      </c>
    </row>
    <row r="45" spans="1:14" x14ac:dyDescent="0.2">
      <c r="D45" s="143"/>
      <c r="H45" t="s">
        <v>31</v>
      </c>
      <c r="I45" s="32">
        <v>130552</v>
      </c>
      <c r="M45" s="130" t="s">
        <v>15</v>
      </c>
      <c r="N45" s="130">
        <v>116009</v>
      </c>
    </row>
    <row r="46" spans="1:14" x14ac:dyDescent="0.2">
      <c r="A46" t="s">
        <v>52</v>
      </c>
      <c r="B46" s="57">
        <v>2026</v>
      </c>
      <c r="C46" s="142">
        <v>2025</v>
      </c>
      <c r="D46" s="143"/>
      <c r="H46" t="s">
        <v>26</v>
      </c>
      <c r="I46" s="32">
        <v>113001</v>
      </c>
      <c r="M46" s="130" t="s">
        <v>18</v>
      </c>
      <c r="N46" s="130">
        <v>106537</v>
      </c>
    </row>
    <row r="47" spans="1:14" x14ac:dyDescent="0.2">
      <c r="A47" t="s">
        <v>6</v>
      </c>
      <c r="B47" s="57">
        <f>SUM(B48:B55)</f>
        <v>109157</v>
      </c>
      <c r="C47" s="57">
        <f>SUM(C48:C54)</f>
        <v>275304</v>
      </c>
      <c r="D47" s="143"/>
      <c r="H47" t="s">
        <v>20</v>
      </c>
      <c r="I47" s="32">
        <v>81627</v>
      </c>
      <c r="M47" s="130" t="s">
        <v>24</v>
      </c>
      <c r="N47" s="130">
        <v>63060</v>
      </c>
    </row>
    <row r="48" spans="1:14" x14ac:dyDescent="0.2">
      <c r="A48" s="129" t="s">
        <v>36</v>
      </c>
      <c r="B48" s="57">
        <v>6397</v>
      </c>
      <c r="C48" s="143">
        <v>15045</v>
      </c>
      <c r="D48" s="143"/>
      <c r="H48" t="s">
        <v>14</v>
      </c>
      <c r="I48" s="32">
        <v>77736</v>
      </c>
      <c r="M48" s="130" t="s">
        <v>53</v>
      </c>
      <c r="N48" s="130">
        <v>60587</v>
      </c>
    </row>
    <row r="49" spans="1:16" x14ac:dyDescent="0.2">
      <c r="A49" s="129" t="s">
        <v>10</v>
      </c>
      <c r="B49" s="57">
        <v>-5736</v>
      </c>
      <c r="C49" s="143">
        <v>56563</v>
      </c>
      <c r="D49" s="143"/>
      <c r="H49" t="s">
        <v>29</v>
      </c>
      <c r="I49" s="32">
        <v>72817</v>
      </c>
      <c r="M49" s="130" t="s">
        <v>54</v>
      </c>
      <c r="N49" s="130">
        <v>37479</v>
      </c>
    </row>
    <row r="50" spans="1:16" x14ac:dyDescent="0.2">
      <c r="A50" s="129" t="s">
        <v>13</v>
      </c>
      <c r="B50" s="57">
        <v>70585</v>
      </c>
      <c r="C50" s="143">
        <v>112090</v>
      </c>
      <c r="D50" s="143"/>
      <c r="H50" t="s">
        <v>17</v>
      </c>
      <c r="I50" s="32">
        <v>67841.48</v>
      </c>
      <c r="M50" s="130" t="s">
        <v>45</v>
      </c>
      <c r="N50" s="130">
        <v>19914</v>
      </c>
    </row>
    <row r="51" spans="1:16" x14ac:dyDescent="0.2">
      <c r="A51" s="129" t="s">
        <v>16</v>
      </c>
      <c r="B51" s="57">
        <v>42447</v>
      </c>
      <c r="C51" s="143">
        <v>65838</v>
      </c>
      <c r="D51" s="143"/>
      <c r="H51" t="s">
        <v>55</v>
      </c>
      <c r="I51" s="32">
        <v>67735</v>
      </c>
      <c r="M51" s="130" t="s">
        <v>56</v>
      </c>
      <c r="N51" s="130">
        <v>19796</v>
      </c>
    </row>
    <row r="52" spans="1:16" x14ac:dyDescent="0.2">
      <c r="A52" s="129" t="s">
        <v>19</v>
      </c>
      <c r="B52" s="57">
        <v>3594</v>
      </c>
      <c r="C52" s="143">
        <v>2102</v>
      </c>
      <c r="H52" t="s">
        <v>44</v>
      </c>
      <c r="I52" s="32">
        <v>59173</v>
      </c>
      <c r="M52" s="130" t="s">
        <v>32</v>
      </c>
      <c r="N52" s="130">
        <v>19297</v>
      </c>
    </row>
    <row r="53" spans="1:16" x14ac:dyDescent="0.2">
      <c r="A53" s="129" t="s">
        <v>22</v>
      </c>
      <c r="B53" s="57">
        <v>14263</v>
      </c>
      <c r="C53" s="143">
        <v>20681</v>
      </c>
      <c r="D53" s="142"/>
    </row>
    <row r="54" spans="1:16" x14ac:dyDescent="0.2">
      <c r="A54" s="129" t="s">
        <v>25</v>
      </c>
      <c r="B54" s="57">
        <v>5420</v>
      </c>
      <c r="C54" s="143">
        <v>2985</v>
      </c>
      <c r="D54" s="134"/>
      <c r="H54" t="s">
        <v>57</v>
      </c>
      <c r="M54" t="s">
        <v>58</v>
      </c>
    </row>
    <row r="55" spans="1:16" x14ac:dyDescent="0.2">
      <c r="A55" s="167" t="s">
        <v>28</v>
      </c>
      <c r="B55" s="57">
        <v>-27813</v>
      </c>
      <c r="D55" s="139"/>
      <c r="H55" s="147" t="s">
        <v>59</v>
      </c>
      <c r="I55" s="86">
        <v>3.6469723076923</v>
      </c>
      <c r="M55" s="147" t="s">
        <v>59</v>
      </c>
      <c r="N55" s="157">
        <v>5.6627000000000001</v>
      </c>
      <c r="O55" s="147" t="s">
        <v>59</v>
      </c>
      <c r="P55" s="157">
        <v>5.6627000000000001</v>
      </c>
    </row>
    <row r="56" spans="1:16" x14ac:dyDescent="0.2">
      <c r="D56" s="24"/>
      <c r="H56" t="s">
        <v>60</v>
      </c>
      <c r="I56" s="55">
        <v>19.63</v>
      </c>
      <c r="M56" s="129" t="s">
        <v>61</v>
      </c>
      <c r="N56" s="23">
        <v>29.74</v>
      </c>
      <c r="O56" s="129" t="s">
        <v>62</v>
      </c>
      <c r="P56" s="23">
        <v>7.9726999999999997</v>
      </c>
    </row>
    <row r="57" spans="1:16" x14ac:dyDescent="0.2">
      <c r="A57" t="s">
        <v>63</v>
      </c>
      <c r="B57" s="57">
        <v>2026</v>
      </c>
      <c r="C57" s="142">
        <v>2025</v>
      </c>
      <c r="D57" s="140"/>
      <c r="H57" t="s">
        <v>20</v>
      </c>
      <c r="I57" s="23">
        <v>8.1616</v>
      </c>
      <c r="M57" s="129" t="s">
        <v>64</v>
      </c>
      <c r="N57" s="23">
        <v>17.34</v>
      </c>
      <c r="O57" s="129" t="s">
        <v>30</v>
      </c>
      <c r="P57" s="23">
        <v>8.3727</v>
      </c>
    </row>
    <row r="58" spans="1:16" x14ac:dyDescent="0.2">
      <c r="A58" s="129" t="s">
        <v>36</v>
      </c>
      <c r="B58" s="57">
        <v>1.3494999999999999</v>
      </c>
      <c r="C58" s="139">
        <v>1.3551</v>
      </c>
      <c r="D58" s="24"/>
      <c r="H58" t="s">
        <v>65</v>
      </c>
      <c r="I58" s="55">
        <v>8.0299999999999994</v>
      </c>
      <c r="M58" s="129" t="s">
        <v>39</v>
      </c>
      <c r="N58" s="23">
        <v>13.703900000000001</v>
      </c>
      <c r="O58" s="129" t="s">
        <v>66</v>
      </c>
      <c r="P58" s="23">
        <v>8.5672999999999995</v>
      </c>
    </row>
    <row r="59" spans="1:16" x14ac:dyDescent="0.2">
      <c r="A59" s="129" t="s">
        <v>10</v>
      </c>
      <c r="B59" s="57">
        <v>1.6526000000000001</v>
      </c>
      <c r="C59" s="24">
        <v>2.5356999999999998</v>
      </c>
      <c r="D59" s="24"/>
      <c r="H59" t="s">
        <v>67</v>
      </c>
      <c r="I59" s="55">
        <v>7.73</v>
      </c>
      <c r="M59" s="129" t="s">
        <v>68</v>
      </c>
      <c r="N59" s="23">
        <v>11.771000000000001</v>
      </c>
      <c r="O59" s="129" t="s">
        <v>69</v>
      </c>
      <c r="P59" s="23">
        <v>8.66</v>
      </c>
    </row>
    <row r="60" spans="1:16" x14ac:dyDescent="0.2">
      <c r="A60" s="129" t="s">
        <v>13</v>
      </c>
      <c r="B60" s="57">
        <v>-1.7114</v>
      </c>
      <c r="C60" s="140">
        <v>-0.79990000000000006</v>
      </c>
      <c r="D60" s="141"/>
      <c r="H60" t="s">
        <v>70</v>
      </c>
      <c r="I60" s="23">
        <v>7.2218</v>
      </c>
      <c r="M60" s="129" t="s">
        <v>71</v>
      </c>
      <c r="N60" s="23">
        <v>10.99</v>
      </c>
      <c r="O60" s="129" t="s">
        <v>72</v>
      </c>
      <c r="P60" s="23">
        <v>9</v>
      </c>
    </row>
    <row r="61" spans="1:16" x14ac:dyDescent="0.2">
      <c r="A61" s="129" t="s">
        <v>16</v>
      </c>
      <c r="B61" s="57">
        <v>1.92</v>
      </c>
      <c r="C61" s="24">
        <v>1.78</v>
      </c>
      <c r="D61" s="141"/>
      <c r="H61" t="s">
        <v>73</v>
      </c>
      <c r="I61" s="23">
        <v>6.6761999999999997</v>
      </c>
      <c r="M61" s="129" t="s">
        <v>72</v>
      </c>
      <c r="N61" s="23">
        <v>9</v>
      </c>
      <c r="O61" s="129" t="s">
        <v>71</v>
      </c>
      <c r="P61" s="23">
        <v>10.99</v>
      </c>
    </row>
    <row r="62" spans="1:16" x14ac:dyDescent="0.2">
      <c r="A62" s="129" t="s">
        <v>19</v>
      </c>
      <c r="B62" s="57">
        <v>11.586</v>
      </c>
      <c r="C62" s="24">
        <v>13.0688</v>
      </c>
      <c r="H62" t="s">
        <v>74</v>
      </c>
      <c r="I62" s="55">
        <v>6.54</v>
      </c>
      <c r="M62" s="129" t="s">
        <v>69</v>
      </c>
      <c r="N62" s="23">
        <v>8.66</v>
      </c>
      <c r="O62" s="129" t="s">
        <v>68</v>
      </c>
      <c r="P62" s="23">
        <v>11.771000000000001</v>
      </c>
    </row>
    <row r="63" spans="1:16" x14ac:dyDescent="0.2">
      <c r="A63" s="129" t="s">
        <v>22</v>
      </c>
      <c r="B63" s="150">
        <v>3.2071000000000001</v>
      </c>
      <c r="C63" s="141">
        <v>2.8729</v>
      </c>
      <c r="D63" s="142"/>
      <c r="H63" t="s">
        <v>75</v>
      </c>
      <c r="I63" s="55">
        <v>6.32</v>
      </c>
      <c r="M63" s="129" t="s">
        <v>66</v>
      </c>
      <c r="N63" s="23">
        <v>8.5672999999999995</v>
      </c>
      <c r="O63" s="129" t="s">
        <v>39</v>
      </c>
      <c r="P63" s="23">
        <v>13.703900000000001</v>
      </c>
    </row>
    <row r="64" spans="1:16" x14ac:dyDescent="0.2">
      <c r="A64" s="129" t="s">
        <v>25</v>
      </c>
      <c r="B64" s="57">
        <v>4.4126000000000003</v>
      </c>
      <c r="C64" s="141">
        <v>3.0503999999999998</v>
      </c>
      <c r="D64" s="134"/>
      <c r="H64" t="s">
        <v>76</v>
      </c>
      <c r="I64" s="23">
        <v>6.1885000000000003</v>
      </c>
      <c r="M64" s="129" t="s">
        <v>30</v>
      </c>
      <c r="N64" s="23">
        <v>8.3727</v>
      </c>
      <c r="O64" s="129" t="s">
        <v>64</v>
      </c>
      <c r="P64" s="23">
        <v>17.34</v>
      </c>
    </row>
    <row r="65" spans="1:16" x14ac:dyDescent="0.2">
      <c r="A65" s="167" t="s">
        <v>28</v>
      </c>
      <c r="B65" s="57">
        <v>7.3023999999999996</v>
      </c>
      <c r="D65" s="139"/>
      <c r="H65" t="s">
        <v>77</v>
      </c>
      <c r="I65" s="49">
        <v>5.9539999999999997</v>
      </c>
      <c r="M65" s="129" t="s">
        <v>62</v>
      </c>
      <c r="N65" s="23">
        <v>7.9726999999999997</v>
      </c>
      <c r="O65" s="129" t="s">
        <v>61</v>
      </c>
      <c r="P65" s="23">
        <v>29.74</v>
      </c>
    </row>
    <row r="66" spans="1:16" x14ac:dyDescent="0.2">
      <c r="A66" t="s">
        <v>59</v>
      </c>
      <c r="B66" s="57">
        <f>AVERAGE(B58:B65)</f>
        <v>3.7148500000000002</v>
      </c>
      <c r="C66" s="134">
        <f>AVERAGE(C58:C64)</f>
        <v>3.4089999999999998</v>
      </c>
      <c r="D66" s="24"/>
    </row>
    <row r="67" spans="1:16" x14ac:dyDescent="0.2">
      <c r="D67" s="140"/>
      <c r="H67" t="s">
        <v>78</v>
      </c>
      <c r="M67" t="s">
        <v>79</v>
      </c>
    </row>
    <row r="68" spans="1:16" x14ac:dyDescent="0.2">
      <c r="A68" t="s">
        <v>80</v>
      </c>
      <c r="B68" s="57">
        <v>2026</v>
      </c>
      <c r="C68" s="142">
        <v>2025</v>
      </c>
      <c r="D68" s="26"/>
      <c r="E68" s="138"/>
      <c r="H68" s="147" t="s">
        <v>59</v>
      </c>
      <c r="I68" s="47">
        <v>1.6256999999999999</v>
      </c>
      <c r="M68" s="147" t="s">
        <v>59</v>
      </c>
      <c r="N68" s="157">
        <v>5.6627000000000001</v>
      </c>
      <c r="O68" s="147" t="s">
        <v>59</v>
      </c>
      <c r="P68" s="23">
        <v>2.613</v>
      </c>
    </row>
    <row r="69" spans="1:16" x14ac:dyDescent="0.2">
      <c r="D69" s="24"/>
      <c r="E69" s="138"/>
      <c r="H69" t="s">
        <v>60</v>
      </c>
      <c r="I69" s="55">
        <v>3.47</v>
      </c>
      <c r="M69" s="129" t="s">
        <v>61</v>
      </c>
      <c r="N69" s="23">
        <v>7.79</v>
      </c>
      <c r="O69" s="129" t="s">
        <v>81</v>
      </c>
      <c r="P69" s="23">
        <v>2.9203000000000001</v>
      </c>
    </row>
    <row r="70" spans="1:16" x14ac:dyDescent="0.2">
      <c r="A70" s="129" t="s">
        <v>36</v>
      </c>
      <c r="B70" s="57">
        <v>1.2028000000000001</v>
      </c>
      <c r="C70" s="139">
        <v>1.3362000000000001</v>
      </c>
      <c r="D70" s="141"/>
      <c r="E70" s="138"/>
      <c r="H70" t="s">
        <v>20</v>
      </c>
      <c r="I70" s="23">
        <v>3.0956000000000001</v>
      </c>
      <c r="M70" s="129" t="s">
        <v>68</v>
      </c>
      <c r="N70" s="23">
        <v>7.4253999999999998</v>
      </c>
      <c r="O70" s="129" t="s">
        <v>53</v>
      </c>
      <c r="P70" s="23">
        <v>3.22</v>
      </c>
    </row>
    <row r="71" spans="1:16" x14ac:dyDescent="0.2">
      <c r="A71" s="129" t="s">
        <v>10</v>
      </c>
      <c r="B71" s="57">
        <v>1.3035000000000001</v>
      </c>
      <c r="C71" s="24">
        <v>1.3381000000000001</v>
      </c>
      <c r="D71" s="141"/>
      <c r="E71" s="138"/>
      <c r="H71" t="s">
        <v>11</v>
      </c>
      <c r="I71" s="23">
        <v>2.3008000000000002</v>
      </c>
      <c r="M71" s="129" t="s">
        <v>66</v>
      </c>
      <c r="N71" s="23">
        <v>6.4760999999999997</v>
      </c>
      <c r="O71" s="129" t="s">
        <v>82</v>
      </c>
      <c r="P71" s="23">
        <v>3.3689</v>
      </c>
    </row>
    <row r="72" spans="1:16" x14ac:dyDescent="0.2">
      <c r="A72" s="129" t="s">
        <v>13</v>
      </c>
      <c r="B72" s="57">
        <v>0.92100000000000004</v>
      </c>
      <c r="C72" s="140">
        <v>1.052</v>
      </c>
      <c r="E72" s="138"/>
      <c r="H72" t="s">
        <v>73</v>
      </c>
      <c r="I72" s="23">
        <v>2.2905000000000002</v>
      </c>
      <c r="M72" s="129" t="s">
        <v>83</v>
      </c>
      <c r="N72" s="23">
        <v>5.1994999999999996</v>
      </c>
      <c r="O72" s="129" t="s">
        <v>72</v>
      </c>
      <c r="P72" s="23">
        <v>4.08</v>
      </c>
    </row>
    <row r="73" spans="1:16" x14ac:dyDescent="0.2">
      <c r="A73" s="129" t="s">
        <v>16</v>
      </c>
      <c r="B73" s="57">
        <v>1.92</v>
      </c>
      <c r="C73" s="26">
        <v>1.84</v>
      </c>
      <c r="D73" s="142"/>
      <c r="E73" s="138"/>
      <c r="H73" t="s">
        <v>84</v>
      </c>
      <c r="I73" s="23">
        <v>2.1798000000000002</v>
      </c>
      <c r="M73" s="129" t="s">
        <v>62</v>
      </c>
      <c r="N73" s="23">
        <v>5.1079999999999997</v>
      </c>
      <c r="O73" s="129" t="s">
        <v>85</v>
      </c>
      <c r="P73" s="23">
        <v>4.4028999999999998</v>
      </c>
    </row>
    <row r="74" spans="1:16" x14ac:dyDescent="0.2">
      <c r="A74" s="129" t="s">
        <v>19</v>
      </c>
      <c r="B74" s="57">
        <v>3.4201000000000001</v>
      </c>
      <c r="C74" s="24">
        <v>3.8626999999999998</v>
      </c>
      <c r="D74" s="57"/>
      <c r="E74" s="138"/>
      <c r="H74" t="s">
        <v>31</v>
      </c>
      <c r="I74" s="23">
        <v>2.1434000000000002</v>
      </c>
      <c r="M74" s="129" t="s">
        <v>85</v>
      </c>
      <c r="N74" s="23">
        <v>4.4028999999999998</v>
      </c>
      <c r="O74" s="129" t="s">
        <v>62</v>
      </c>
      <c r="P74" s="23">
        <v>5.1079999999999997</v>
      </c>
    </row>
    <row r="75" spans="1:16" x14ac:dyDescent="0.2">
      <c r="A75" s="129" t="s">
        <v>22</v>
      </c>
      <c r="B75" s="112">
        <v>1.6153</v>
      </c>
      <c r="C75" s="141">
        <v>1.5593999999999999</v>
      </c>
      <c r="H75" t="s">
        <v>76</v>
      </c>
      <c r="I75" s="55">
        <v>2.11</v>
      </c>
      <c r="M75" s="129" t="s">
        <v>72</v>
      </c>
      <c r="N75" s="23">
        <v>4.08</v>
      </c>
      <c r="O75" s="129" t="s">
        <v>83</v>
      </c>
      <c r="P75" s="23">
        <v>5.1994999999999996</v>
      </c>
    </row>
    <row r="76" spans="1:16" x14ac:dyDescent="0.2">
      <c r="A76" s="129" t="s">
        <v>25</v>
      </c>
      <c r="B76" s="57">
        <v>1.6113999999999999</v>
      </c>
      <c r="C76" s="141">
        <v>1.5616000000000001</v>
      </c>
      <c r="H76" t="s">
        <v>86</v>
      </c>
      <c r="I76" s="55">
        <v>2.1</v>
      </c>
      <c r="M76" s="129" t="s">
        <v>82</v>
      </c>
      <c r="N76" s="23">
        <v>3.3689</v>
      </c>
      <c r="O76" s="129" t="s">
        <v>66</v>
      </c>
      <c r="P76" s="23">
        <v>6.4760999999999997</v>
      </c>
    </row>
    <row r="77" spans="1:16" x14ac:dyDescent="0.2">
      <c r="A77" s="167" t="s">
        <v>28</v>
      </c>
      <c r="B77" s="138">
        <v>4.7682000000000002</v>
      </c>
      <c r="H77" t="s">
        <v>75</v>
      </c>
      <c r="I77" s="55">
        <v>2.08</v>
      </c>
      <c r="M77" s="129" t="s">
        <v>53</v>
      </c>
      <c r="N77" s="23">
        <v>3.22</v>
      </c>
      <c r="O77" s="129" t="s">
        <v>68</v>
      </c>
      <c r="P77" s="23">
        <v>7.4253999999999998</v>
      </c>
    </row>
    <row r="78" spans="1:16" x14ac:dyDescent="0.2">
      <c r="A78" t="s">
        <v>59</v>
      </c>
      <c r="B78" s="57">
        <f>AVERAGE(B70:B77)</f>
        <v>2.0952875</v>
      </c>
      <c r="C78" s="134">
        <f>AVERAGE(C70:C76)</f>
        <v>1.7928571428571429</v>
      </c>
      <c r="H78" t="s">
        <v>77</v>
      </c>
      <c r="I78" s="49">
        <v>2.0579999999999998</v>
      </c>
      <c r="M78" s="129" t="s">
        <v>81</v>
      </c>
      <c r="N78" s="23">
        <v>2.9203000000000001</v>
      </c>
      <c r="O78" s="129" t="s">
        <v>61</v>
      </c>
      <c r="P78" s="23">
        <v>7.79</v>
      </c>
    </row>
    <row r="81" spans="1:3" x14ac:dyDescent="0.2">
      <c r="A81" t="s">
        <v>87</v>
      </c>
      <c r="B81" s="57">
        <v>2026</v>
      </c>
      <c r="C81" s="142">
        <v>2025</v>
      </c>
    </row>
    <row r="82" spans="1:3" ht="16" x14ac:dyDescent="0.2">
      <c r="A82" s="149" t="s">
        <v>6</v>
      </c>
      <c r="B82" s="57">
        <f>SUM(B83:B89)</f>
        <v>40121055</v>
      </c>
      <c r="C82" s="57">
        <f>SUM(C83:C89)</f>
        <v>39421909</v>
      </c>
    </row>
    <row r="83" spans="1:3" x14ac:dyDescent="0.2">
      <c r="A83" s="129" t="s">
        <v>36</v>
      </c>
      <c r="B83" s="57">
        <v>12972004</v>
      </c>
      <c r="C83" s="138">
        <v>13572403</v>
      </c>
    </row>
    <row r="84" spans="1:3" x14ac:dyDescent="0.2">
      <c r="A84" s="129" t="s">
        <v>10</v>
      </c>
      <c r="B84" s="57">
        <v>5622306</v>
      </c>
      <c r="C84" s="138">
        <v>5033338</v>
      </c>
    </row>
    <row r="85" spans="1:3" x14ac:dyDescent="0.2">
      <c r="A85" s="129" t="s">
        <v>13</v>
      </c>
      <c r="B85" s="57">
        <v>6429215</v>
      </c>
      <c r="C85" s="138">
        <v>8259199</v>
      </c>
    </row>
    <row r="86" spans="1:3" x14ac:dyDescent="0.2">
      <c r="A86" s="129" t="s">
        <v>16</v>
      </c>
      <c r="B86" s="57">
        <v>7230344</v>
      </c>
      <c r="C86" s="138">
        <v>6272720</v>
      </c>
    </row>
    <row r="87" spans="1:3" x14ac:dyDescent="0.2">
      <c r="A87" s="129" t="s">
        <v>19</v>
      </c>
      <c r="B87" s="57">
        <v>1219165</v>
      </c>
      <c r="C87" s="138">
        <v>1033972</v>
      </c>
    </row>
    <row r="88" spans="1:3" x14ac:dyDescent="0.2">
      <c r="A88" s="129" t="s">
        <v>22</v>
      </c>
      <c r="B88" s="150">
        <v>4561072</v>
      </c>
      <c r="C88" s="138">
        <v>4372746</v>
      </c>
    </row>
    <row r="89" spans="1:3" x14ac:dyDescent="0.2">
      <c r="A89" s="129" t="s">
        <v>25</v>
      </c>
      <c r="B89" s="57">
        <v>2086949</v>
      </c>
      <c r="C89" s="138">
        <v>877531</v>
      </c>
    </row>
    <row r="90" spans="1:3" x14ac:dyDescent="0.2">
      <c r="A90" s="167" t="s">
        <v>28</v>
      </c>
      <c r="B90" s="57">
        <v>772955</v>
      </c>
    </row>
    <row r="100" spans="6:9" x14ac:dyDescent="0.2">
      <c r="G100" t="s">
        <v>57</v>
      </c>
    </row>
    <row r="101" spans="6:9" x14ac:dyDescent="0.2">
      <c r="F101" s="147" t="s">
        <v>59</v>
      </c>
      <c r="G101" s="86">
        <v>3.6469723076923</v>
      </c>
    </row>
    <row r="102" spans="6:9" x14ac:dyDescent="0.2">
      <c r="F102" t="s">
        <v>77</v>
      </c>
      <c r="G102" s="49">
        <v>5.9539999999999997</v>
      </c>
      <c r="I102" s="55"/>
    </row>
    <row r="103" spans="6:9" x14ac:dyDescent="0.2">
      <c r="F103" t="s">
        <v>76</v>
      </c>
      <c r="G103" s="23">
        <v>6.1885000000000003</v>
      </c>
      <c r="I103" s="23"/>
    </row>
    <row r="104" spans="6:9" x14ac:dyDescent="0.2">
      <c r="F104" t="s">
        <v>75</v>
      </c>
      <c r="G104" s="55">
        <v>6.32</v>
      </c>
      <c r="I104" s="55"/>
    </row>
    <row r="105" spans="6:9" x14ac:dyDescent="0.2">
      <c r="F105" t="s">
        <v>74</v>
      </c>
      <c r="G105" s="55">
        <v>6.54</v>
      </c>
      <c r="I105" s="55"/>
    </row>
    <row r="106" spans="6:9" x14ac:dyDescent="0.2">
      <c r="F106" t="s">
        <v>73</v>
      </c>
      <c r="G106" s="23">
        <v>6.6761999999999997</v>
      </c>
      <c r="I106" s="23"/>
    </row>
    <row r="107" spans="6:9" x14ac:dyDescent="0.2">
      <c r="F107" t="s">
        <v>70</v>
      </c>
      <c r="G107" s="23">
        <v>7.2218</v>
      </c>
      <c r="I107" s="23"/>
    </row>
    <row r="108" spans="6:9" x14ac:dyDescent="0.2">
      <c r="F108" t="s">
        <v>67</v>
      </c>
      <c r="G108" s="55">
        <v>7.73</v>
      </c>
      <c r="I108" s="55"/>
    </row>
    <row r="109" spans="6:9" x14ac:dyDescent="0.2">
      <c r="F109" t="s">
        <v>65</v>
      </c>
      <c r="G109" s="55">
        <v>8.0299999999999994</v>
      </c>
      <c r="I109" s="55"/>
    </row>
    <row r="110" spans="6:9" x14ac:dyDescent="0.2">
      <c r="F110" t="s">
        <v>20</v>
      </c>
      <c r="G110" s="23">
        <v>8.1616</v>
      </c>
      <c r="I110" s="23"/>
    </row>
    <row r="111" spans="6:9" x14ac:dyDescent="0.2">
      <c r="F111" t="s">
        <v>60</v>
      </c>
      <c r="G111" s="55">
        <v>19.63</v>
      </c>
      <c r="I111" s="49"/>
    </row>
    <row r="113" spans="6:15" x14ac:dyDescent="0.2">
      <c r="G113" t="s">
        <v>78</v>
      </c>
      <c r="O113">
        <v>100</v>
      </c>
    </row>
    <row r="114" spans="6:15" ht="16" x14ac:dyDescent="0.2">
      <c r="F114" s="147" t="s">
        <v>59</v>
      </c>
      <c r="G114" s="47">
        <v>1.6256999999999999</v>
      </c>
      <c r="M114" s="153" t="s">
        <v>88</v>
      </c>
      <c r="N114" s="50">
        <v>2.0878000000000001</v>
      </c>
      <c r="O114">
        <f>N114*O113</f>
        <v>208.78</v>
      </c>
    </row>
    <row r="115" spans="6:15" ht="16" x14ac:dyDescent="0.2">
      <c r="F115" t="s">
        <v>77</v>
      </c>
      <c r="G115" s="49">
        <v>2.0579999999999998</v>
      </c>
      <c r="M115" s="153" t="s">
        <v>89</v>
      </c>
      <c r="N115" s="50"/>
    </row>
    <row r="116" spans="6:15" ht="16" x14ac:dyDescent="0.2">
      <c r="F116" t="s">
        <v>75</v>
      </c>
      <c r="G116" s="55">
        <v>2.08</v>
      </c>
      <c r="M116" s="153" t="s">
        <v>90</v>
      </c>
      <c r="N116" s="50">
        <v>3.22</v>
      </c>
    </row>
    <row r="117" spans="6:15" ht="16" x14ac:dyDescent="0.2">
      <c r="F117" t="s">
        <v>86</v>
      </c>
      <c r="G117" s="55">
        <v>2.1</v>
      </c>
      <c r="M117" s="153" t="s">
        <v>91</v>
      </c>
      <c r="N117" s="50">
        <v>1.2977000000000001</v>
      </c>
    </row>
    <row r="118" spans="6:15" ht="16" x14ac:dyDescent="0.2">
      <c r="F118" t="s">
        <v>76</v>
      </c>
      <c r="G118" s="55">
        <v>2.11</v>
      </c>
      <c r="M118" s="153" t="s">
        <v>92</v>
      </c>
      <c r="N118" s="50">
        <v>1.4073</v>
      </c>
    </row>
    <row r="119" spans="6:15" ht="16" x14ac:dyDescent="0.2">
      <c r="F119" t="s">
        <v>31</v>
      </c>
      <c r="G119" s="23">
        <v>2.1434000000000002</v>
      </c>
      <c r="M119" s="153" t="s">
        <v>93</v>
      </c>
      <c r="N119" s="50">
        <v>1.3627</v>
      </c>
    </row>
    <row r="120" spans="6:15" ht="16" x14ac:dyDescent="0.2">
      <c r="F120" t="s">
        <v>84</v>
      </c>
      <c r="G120" s="23">
        <v>2.1798000000000002</v>
      </c>
      <c r="M120" s="153" t="s">
        <v>94</v>
      </c>
      <c r="N120" s="50">
        <v>1.5013000000000001</v>
      </c>
    </row>
    <row r="121" spans="6:15" ht="16" x14ac:dyDescent="0.2">
      <c r="F121" t="s">
        <v>73</v>
      </c>
      <c r="G121" s="23">
        <v>2.2905000000000002</v>
      </c>
      <c r="M121" s="153" t="s">
        <v>95</v>
      </c>
      <c r="N121" s="50">
        <v>1.1200000000000001</v>
      </c>
    </row>
    <row r="122" spans="6:15" ht="16" x14ac:dyDescent="0.2">
      <c r="F122" t="s">
        <v>11</v>
      </c>
      <c r="G122" s="23">
        <v>2.3008000000000002</v>
      </c>
      <c r="M122" s="153" t="s">
        <v>96</v>
      </c>
      <c r="N122" s="50">
        <v>24472</v>
      </c>
    </row>
    <row r="123" spans="6:15" ht="16" x14ac:dyDescent="0.2">
      <c r="F123" t="s">
        <v>20</v>
      </c>
      <c r="G123" s="23">
        <v>3.0956000000000001</v>
      </c>
      <c r="M123" s="153" t="s">
        <v>97</v>
      </c>
      <c r="N123" s="50">
        <v>33689</v>
      </c>
    </row>
    <row r="124" spans="6:15" ht="16" x14ac:dyDescent="0.2">
      <c r="F124" t="s">
        <v>60</v>
      </c>
      <c r="G124" s="55">
        <v>3.47</v>
      </c>
      <c r="M124" s="153" t="s">
        <v>98</v>
      </c>
      <c r="N124" s="50">
        <v>16875</v>
      </c>
    </row>
    <row r="125" spans="6:15" ht="16" x14ac:dyDescent="0.2">
      <c r="M125" s="153" t="s">
        <v>99</v>
      </c>
      <c r="N125" s="50">
        <v>64761</v>
      </c>
    </row>
    <row r="126" spans="6:15" ht="32" x14ac:dyDescent="0.2">
      <c r="M126" s="154" t="s">
        <v>100</v>
      </c>
      <c r="N126" s="156" t="s">
        <v>101</v>
      </c>
    </row>
    <row r="127" spans="6:15" ht="16" x14ac:dyDescent="0.2">
      <c r="M127" s="153" t="s">
        <v>102</v>
      </c>
      <c r="N127" s="50">
        <v>44029</v>
      </c>
    </row>
    <row r="128" spans="6:15" ht="16" x14ac:dyDescent="0.2">
      <c r="M128" s="153" t="s">
        <v>103</v>
      </c>
      <c r="N128" s="50" t="s">
        <v>104</v>
      </c>
    </row>
    <row r="129" spans="13:14" ht="16" x14ac:dyDescent="0.2">
      <c r="M129" s="153" t="s">
        <v>105</v>
      </c>
      <c r="N129" s="50">
        <v>10920</v>
      </c>
    </row>
    <row r="130" spans="13:14" ht="16" x14ac:dyDescent="0.2">
      <c r="M130" s="153" t="s">
        <v>106</v>
      </c>
      <c r="N130" s="50">
        <v>51080</v>
      </c>
    </row>
    <row r="131" spans="13:14" ht="16" x14ac:dyDescent="0.2">
      <c r="M131" s="153" t="s">
        <v>107</v>
      </c>
      <c r="N131" s="50">
        <v>17451</v>
      </c>
    </row>
    <row r="132" spans="13:14" ht="16" x14ac:dyDescent="0.2">
      <c r="M132" s="153" t="s">
        <v>108</v>
      </c>
      <c r="N132" s="50">
        <v>17041</v>
      </c>
    </row>
    <row r="133" spans="13:14" ht="16" x14ac:dyDescent="0.2">
      <c r="M133" s="153" t="s">
        <v>109</v>
      </c>
      <c r="N133" s="50">
        <v>19325</v>
      </c>
    </row>
    <row r="134" spans="13:14" ht="16" x14ac:dyDescent="0.2">
      <c r="M134" s="153" t="s">
        <v>110</v>
      </c>
      <c r="N134" s="50">
        <v>2821</v>
      </c>
    </row>
    <row r="135" spans="13:14" ht="16" x14ac:dyDescent="0.2">
      <c r="M135" s="153" t="s">
        <v>111</v>
      </c>
      <c r="N135" s="50" t="s">
        <v>112</v>
      </c>
    </row>
    <row r="136" spans="13:14" ht="16" x14ac:dyDescent="0.2">
      <c r="M136" s="153" t="s">
        <v>113</v>
      </c>
      <c r="N136" s="50">
        <v>29203</v>
      </c>
    </row>
    <row r="137" spans="13:14" ht="16" x14ac:dyDescent="0.2">
      <c r="M137" s="153" t="s">
        <v>114</v>
      </c>
      <c r="N137" s="50">
        <v>51995</v>
      </c>
    </row>
    <row r="138" spans="13:14" ht="16" x14ac:dyDescent="0.2">
      <c r="M138" s="153" t="s">
        <v>115</v>
      </c>
      <c r="N138" s="50" t="s">
        <v>116</v>
      </c>
    </row>
    <row r="139" spans="13:14" ht="16" x14ac:dyDescent="0.2">
      <c r="M139" s="153" t="s">
        <v>117</v>
      </c>
      <c r="N139" s="50" t="s">
        <v>118</v>
      </c>
    </row>
    <row r="140" spans="13:14" ht="16" x14ac:dyDescent="0.2">
      <c r="M140" s="153" t="s">
        <v>119</v>
      </c>
      <c r="N140" s="50" t="s">
        <v>120</v>
      </c>
    </row>
    <row r="141" spans="13:14" ht="16" x14ac:dyDescent="0.2">
      <c r="M141" s="153" t="s">
        <v>121</v>
      </c>
      <c r="N141" s="50" t="s">
        <v>122</v>
      </c>
    </row>
    <row r="142" spans="13:14" ht="16" x14ac:dyDescent="0.2">
      <c r="M142" s="153" t="s">
        <v>123</v>
      </c>
      <c r="N142" s="50" t="s">
        <v>124</v>
      </c>
    </row>
    <row r="143" spans="13:14" ht="16" x14ac:dyDescent="0.2">
      <c r="M143" s="153" t="s">
        <v>125</v>
      </c>
      <c r="N143" s="50" t="s">
        <v>126</v>
      </c>
    </row>
    <row r="144" spans="13:14" ht="16" x14ac:dyDescent="0.2">
      <c r="M144" s="153" t="s">
        <v>127</v>
      </c>
      <c r="N144" s="50">
        <v>19685</v>
      </c>
    </row>
    <row r="145" spans="13:14" ht="16" x14ac:dyDescent="0.2">
      <c r="M145" s="153" t="s">
        <v>128</v>
      </c>
      <c r="N145" s="50" t="s">
        <v>118</v>
      </c>
    </row>
    <row r="146" spans="13:14" ht="16" x14ac:dyDescent="0.2">
      <c r="M146" s="153" t="s">
        <v>129</v>
      </c>
      <c r="N146" s="50">
        <v>27358</v>
      </c>
    </row>
    <row r="147" spans="13:14" ht="16" x14ac:dyDescent="0.2">
      <c r="M147" s="153" t="s">
        <v>130</v>
      </c>
      <c r="N147" s="50" t="s">
        <v>118</v>
      </c>
    </row>
    <row r="148" spans="13:14" ht="16" x14ac:dyDescent="0.2">
      <c r="M148" s="153" t="s">
        <v>131</v>
      </c>
      <c r="N148" s="50" t="s">
        <v>132</v>
      </c>
    </row>
    <row r="149" spans="13:14" ht="16" x14ac:dyDescent="0.2">
      <c r="M149" s="153" t="s">
        <v>133</v>
      </c>
      <c r="N149" s="50" t="s">
        <v>134</v>
      </c>
    </row>
    <row r="150" spans="13:14" ht="16" x14ac:dyDescent="0.2">
      <c r="M150" s="155" t="s">
        <v>135</v>
      </c>
      <c r="N150" s="50">
        <v>23788</v>
      </c>
    </row>
    <row r="151" spans="13:14" ht="16" x14ac:dyDescent="0.2">
      <c r="M151" s="153" t="s">
        <v>136</v>
      </c>
      <c r="N151" s="50">
        <v>10333</v>
      </c>
    </row>
    <row r="152" spans="13:14" ht="16" x14ac:dyDescent="0.2">
      <c r="M152" s="153" t="s">
        <v>137</v>
      </c>
      <c r="N152" s="50" t="s">
        <v>138</v>
      </c>
    </row>
    <row r="153" spans="13:14" ht="16" x14ac:dyDescent="0.2">
      <c r="M153" s="153" t="s">
        <v>139</v>
      </c>
      <c r="N153" s="50" t="s">
        <v>140</v>
      </c>
    </row>
    <row r="154" spans="13:14" ht="16" x14ac:dyDescent="0.2">
      <c r="M154" s="153" t="s">
        <v>141</v>
      </c>
      <c r="N154" s="50" t="s">
        <v>142</v>
      </c>
    </row>
    <row r="155" spans="13:14" ht="16" x14ac:dyDescent="0.2">
      <c r="M155" s="153" t="s">
        <v>143</v>
      </c>
      <c r="N155" s="50">
        <v>16923</v>
      </c>
    </row>
    <row r="156" spans="13:14" ht="16" x14ac:dyDescent="0.2">
      <c r="M156" s="153" t="s">
        <v>144</v>
      </c>
      <c r="N156" s="50">
        <v>1.1299999999999999</v>
      </c>
    </row>
    <row r="157" spans="13:14" ht="16" x14ac:dyDescent="0.2">
      <c r="M157" s="153" t="s">
        <v>145</v>
      </c>
      <c r="N157" s="50" t="s">
        <v>146</v>
      </c>
    </row>
    <row r="158" spans="13:14" ht="16" x14ac:dyDescent="0.2">
      <c r="M158" s="153" t="s">
        <v>147</v>
      </c>
      <c r="N158" s="50">
        <v>15746</v>
      </c>
    </row>
    <row r="159" spans="13:14" ht="16" x14ac:dyDescent="0.2">
      <c r="M159" s="153" t="s">
        <v>148</v>
      </c>
      <c r="N159" s="50" t="s">
        <v>149</v>
      </c>
    </row>
    <row r="160" spans="13:14" ht="16" x14ac:dyDescent="0.2">
      <c r="M160" s="153" t="s">
        <v>150</v>
      </c>
      <c r="N160" s="50" t="s">
        <v>134</v>
      </c>
    </row>
    <row r="161" spans="13:14" ht="16" x14ac:dyDescent="0.2">
      <c r="M161" s="153" t="s">
        <v>151</v>
      </c>
      <c r="N161" s="50">
        <v>74254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0BF8-2D95-47B7-9373-80773D7C6A6C}">
  <dimension ref="A1:N81"/>
  <sheetViews>
    <sheetView tabSelected="1" zoomScale="90" zoomScaleNormal="40" workbookViewId="0">
      <selection activeCell="A12" sqref="A12"/>
    </sheetView>
  </sheetViews>
  <sheetFormatPr baseColWidth="10" defaultColWidth="8.83203125" defaultRowHeight="15" x14ac:dyDescent="0.2"/>
  <cols>
    <col min="1" max="1" width="39.6640625" customWidth="1"/>
    <col min="2" max="2" width="14.6640625" style="130" bestFit="1" customWidth="1"/>
    <col min="3" max="4" width="14.6640625" style="138" customWidth="1"/>
    <col min="5" max="6" width="8.6640625" style="115"/>
    <col min="7" max="7" width="45.6640625" customWidth="1"/>
    <col min="8" max="8" width="35.5" customWidth="1"/>
    <col min="9" max="9" width="23.5" customWidth="1"/>
    <col min="12" max="12" width="43.5" customWidth="1"/>
    <col min="13" max="13" width="35.1640625" customWidth="1"/>
    <col min="14" max="14" width="17.5" customWidth="1"/>
  </cols>
  <sheetData>
    <row r="1" spans="1:14" x14ac:dyDescent="0.2">
      <c r="A1" t="s">
        <v>152</v>
      </c>
      <c r="F1" s="137"/>
      <c r="G1" s="8"/>
      <c r="H1" s="8"/>
      <c r="I1" s="8"/>
      <c r="J1" s="8"/>
      <c r="K1" s="8"/>
      <c r="L1" s="8"/>
    </row>
    <row r="2" spans="1:14" x14ac:dyDescent="0.2">
      <c r="A2" t="s">
        <v>1</v>
      </c>
      <c r="B2" s="135" t="s">
        <v>2</v>
      </c>
      <c r="C2" s="142" t="s">
        <v>3</v>
      </c>
      <c r="D2" s="142"/>
      <c r="H2" t="s">
        <v>4</v>
      </c>
      <c r="M2" t="s">
        <v>5</v>
      </c>
    </row>
    <row r="3" spans="1:14" ht="16" thickBot="1" x14ac:dyDescent="0.25">
      <c r="A3" t="s">
        <v>6</v>
      </c>
      <c r="B3" s="57">
        <f>SUM(B4:B10)</f>
        <v>3764584</v>
      </c>
      <c r="C3" s="57">
        <f>SUM(C4:C10)</f>
        <v>2645315</v>
      </c>
      <c r="D3" s="57"/>
      <c r="H3" s="147" t="s">
        <v>6</v>
      </c>
      <c r="I3" s="152">
        <v>249289947.28</v>
      </c>
      <c r="M3" s="147" t="s">
        <v>6</v>
      </c>
      <c r="N3" s="150">
        <v>617034231.38</v>
      </c>
    </row>
    <row r="4" spans="1:14" x14ac:dyDescent="0.2">
      <c r="A4" s="129" t="s">
        <v>7</v>
      </c>
      <c r="B4" s="130">
        <v>388451</v>
      </c>
      <c r="C4" s="136">
        <v>451716</v>
      </c>
      <c r="D4" s="136"/>
      <c r="H4" t="s">
        <v>8</v>
      </c>
      <c r="I4" s="32">
        <v>22801467</v>
      </c>
      <c r="M4" s="132" t="s">
        <v>9</v>
      </c>
      <c r="N4" s="130">
        <v>67581784</v>
      </c>
    </row>
    <row r="5" spans="1:14" x14ac:dyDescent="0.2">
      <c r="A5" s="129" t="s">
        <v>10</v>
      </c>
      <c r="B5" s="130">
        <v>212437</v>
      </c>
      <c r="C5" s="136">
        <v>143190</v>
      </c>
      <c r="D5" s="136"/>
      <c r="H5" t="s">
        <v>11</v>
      </c>
      <c r="I5" s="32">
        <v>20868954</v>
      </c>
      <c r="M5" s="132" t="s">
        <v>12</v>
      </c>
      <c r="N5" s="130">
        <v>65633896</v>
      </c>
    </row>
    <row r="6" spans="1:14" x14ac:dyDescent="0.2">
      <c r="A6" s="129" t="s">
        <v>13</v>
      </c>
      <c r="B6" s="130">
        <v>120301</v>
      </c>
      <c r="C6" s="136">
        <v>410915</v>
      </c>
      <c r="D6" s="136"/>
      <c r="H6" t="s">
        <v>14</v>
      </c>
      <c r="I6" s="32">
        <v>18658255</v>
      </c>
      <c r="M6" s="132" t="s">
        <v>15</v>
      </c>
      <c r="N6" s="130">
        <v>62215020</v>
      </c>
    </row>
    <row r="7" spans="1:14" x14ac:dyDescent="0.2">
      <c r="A7" s="129" t="s">
        <v>16</v>
      </c>
      <c r="B7" s="130">
        <v>415708</v>
      </c>
      <c r="C7" s="136">
        <v>438402</v>
      </c>
      <c r="D7" s="136"/>
      <c r="H7" t="s">
        <v>17</v>
      </c>
      <c r="I7" s="32">
        <v>17550022.379999999</v>
      </c>
      <c r="M7" s="132" t="s">
        <v>18</v>
      </c>
      <c r="N7" s="130">
        <v>43944136</v>
      </c>
    </row>
    <row r="8" spans="1:14" x14ac:dyDescent="0.2">
      <c r="A8" s="129" t="s">
        <v>19</v>
      </c>
      <c r="B8" s="130">
        <v>933</v>
      </c>
      <c r="C8" s="136">
        <v>2231</v>
      </c>
      <c r="D8" s="136"/>
      <c r="H8" t="s">
        <v>20</v>
      </c>
      <c r="I8" s="32">
        <v>16607872</v>
      </c>
      <c r="M8" s="132" t="s">
        <v>21</v>
      </c>
      <c r="N8" s="130">
        <v>43177402</v>
      </c>
    </row>
    <row r="9" spans="1:14" x14ac:dyDescent="0.2">
      <c r="A9" s="129" t="s">
        <v>22</v>
      </c>
      <c r="B9" s="150">
        <v>2496976</v>
      </c>
      <c r="C9" s="136">
        <v>1113064</v>
      </c>
      <c r="D9" s="136"/>
      <c r="H9" t="s">
        <v>23</v>
      </c>
      <c r="I9" s="32">
        <v>15442807</v>
      </c>
      <c r="M9" s="132" t="s">
        <v>24</v>
      </c>
      <c r="N9" s="130">
        <v>37890261</v>
      </c>
    </row>
    <row r="10" spans="1:14" x14ac:dyDescent="0.2">
      <c r="A10" s="129" t="s">
        <v>25</v>
      </c>
      <c r="B10" s="130">
        <v>129778</v>
      </c>
      <c r="C10" s="136">
        <v>85797</v>
      </c>
      <c r="D10" s="136"/>
      <c r="H10" t="s">
        <v>26</v>
      </c>
      <c r="I10" s="32">
        <v>15437434</v>
      </c>
      <c r="M10" s="132" t="s">
        <v>27</v>
      </c>
      <c r="N10" s="130">
        <v>30028776.379999999</v>
      </c>
    </row>
    <row r="11" spans="1:14" x14ac:dyDescent="0.2">
      <c r="H11" t="s">
        <v>29</v>
      </c>
      <c r="I11" s="32">
        <v>9971947</v>
      </c>
      <c r="M11" s="132" t="s">
        <v>30</v>
      </c>
      <c r="N11" s="130">
        <v>29688346</v>
      </c>
    </row>
    <row r="12" spans="1:14" x14ac:dyDescent="0.2">
      <c r="A12" t="s">
        <v>33</v>
      </c>
      <c r="B12" s="135">
        <v>2026</v>
      </c>
      <c r="C12" s="142">
        <v>2025</v>
      </c>
      <c r="D12" s="142"/>
      <c r="H12" t="s">
        <v>31</v>
      </c>
      <c r="I12" s="32">
        <v>8622033</v>
      </c>
      <c r="M12" s="132" t="s">
        <v>32</v>
      </c>
      <c r="N12" s="130">
        <v>27519452</v>
      </c>
    </row>
    <row r="13" spans="1:14" x14ac:dyDescent="0.2">
      <c r="A13" t="s">
        <v>6</v>
      </c>
      <c r="B13" s="57">
        <f>SUM(B14:B20)</f>
        <v>954029</v>
      </c>
      <c r="C13" s="57">
        <f>SUM(C14:C20)</f>
        <v>2396848</v>
      </c>
      <c r="D13" s="57"/>
      <c r="H13" t="s">
        <v>34</v>
      </c>
      <c r="I13" s="32">
        <v>6061875</v>
      </c>
      <c r="M13" s="132" t="s">
        <v>35</v>
      </c>
      <c r="N13" s="130">
        <v>23131460</v>
      </c>
    </row>
    <row r="14" spans="1:14" x14ac:dyDescent="0.2">
      <c r="A14" s="129" t="s">
        <v>36</v>
      </c>
      <c r="B14" s="130">
        <v>318296</v>
      </c>
      <c r="C14" s="143">
        <v>389558</v>
      </c>
      <c r="D14" s="143"/>
      <c r="I14" s="123"/>
    </row>
    <row r="15" spans="1:14" x14ac:dyDescent="0.2">
      <c r="A15" s="129" t="s">
        <v>10</v>
      </c>
      <c r="B15" s="32">
        <v>169210</v>
      </c>
      <c r="C15" s="138">
        <v>116500</v>
      </c>
      <c r="H15" t="s">
        <v>37</v>
      </c>
      <c r="M15" t="s">
        <v>38</v>
      </c>
    </row>
    <row r="16" spans="1:14" ht="16" thickBot="1" x14ac:dyDescent="0.25">
      <c r="A16" s="129" t="s">
        <v>13</v>
      </c>
      <c r="B16" s="32">
        <v>104953</v>
      </c>
      <c r="C16" s="138">
        <v>337554</v>
      </c>
      <c r="H16" s="147" t="s">
        <v>6</v>
      </c>
      <c r="I16" s="148">
        <v>91774708828</v>
      </c>
      <c r="M16" s="147" t="s">
        <v>6</v>
      </c>
      <c r="N16" s="150">
        <v>147252589.75</v>
      </c>
    </row>
    <row r="17" spans="1:14" x14ac:dyDescent="0.2">
      <c r="A17" s="129" t="s">
        <v>16</v>
      </c>
      <c r="B17" s="32">
        <v>352933</v>
      </c>
      <c r="C17" s="138">
        <v>380466</v>
      </c>
      <c r="H17" t="s">
        <v>20</v>
      </c>
      <c r="I17" s="32">
        <v>12684265</v>
      </c>
      <c r="M17" s="131" t="s">
        <v>12</v>
      </c>
      <c r="N17" s="130">
        <v>20542695</v>
      </c>
    </row>
    <row r="18" spans="1:14" x14ac:dyDescent="0.2">
      <c r="A18" s="129" t="s">
        <v>19</v>
      </c>
      <c r="B18" s="130">
        <v>607</v>
      </c>
      <c r="C18" s="143">
        <v>2025</v>
      </c>
      <c r="D18" s="143"/>
      <c r="H18" t="s">
        <v>8</v>
      </c>
      <c r="I18" s="32">
        <v>9313346</v>
      </c>
      <c r="M18" s="131" t="s">
        <v>9</v>
      </c>
      <c r="N18" s="130">
        <v>16244253</v>
      </c>
    </row>
    <row r="19" spans="1:14" x14ac:dyDescent="0.2">
      <c r="A19" s="129" t="s">
        <v>22</v>
      </c>
      <c r="B19" s="150"/>
      <c r="C19" s="138">
        <v>1101069</v>
      </c>
      <c r="H19" t="s">
        <v>17</v>
      </c>
      <c r="I19" s="32">
        <v>8517372.3399999999</v>
      </c>
      <c r="M19" s="131" t="s">
        <v>32</v>
      </c>
      <c r="N19" s="130">
        <v>11633501</v>
      </c>
    </row>
    <row r="20" spans="1:14" x14ac:dyDescent="0.2">
      <c r="A20" s="129" t="s">
        <v>25</v>
      </c>
      <c r="B20" s="32">
        <v>8030</v>
      </c>
      <c r="C20" s="138">
        <v>69676</v>
      </c>
      <c r="H20" t="s">
        <v>26</v>
      </c>
      <c r="I20" s="32">
        <v>6897480</v>
      </c>
      <c r="M20" s="131" t="s">
        <v>35</v>
      </c>
      <c r="N20" s="130">
        <v>9547104</v>
      </c>
    </row>
    <row r="21" spans="1:14" x14ac:dyDescent="0.2">
      <c r="H21" t="s">
        <v>11</v>
      </c>
      <c r="I21" s="32">
        <v>6218334</v>
      </c>
      <c r="M21" s="131" t="s">
        <v>21</v>
      </c>
      <c r="N21" s="130">
        <v>8980958</v>
      </c>
    </row>
    <row r="22" spans="1:14" x14ac:dyDescent="0.2">
      <c r="A22" t="s">
        <v>40</v>
      </c>
      <c r="B22" s="135">
        <v>2026</v>
      </c>
      <c r="C22" s="142">
        <v>2025</v>
      </c>
      <c r="D22" s="142"/>
      <c r="H22" t="s">
        <v>29</v>
      </c>
      <c r="I22" s="32">
        <v>4385035</v>
      </c>
      <c r="M22" s="131" t="s">
        <v>39</v>
      </c>
      <c r="N22" s="130">
        <v>7764902</v>
      </c>
    </row>
    <row r="23" spans="1:14" x14ac:dyDescent="0.2">
      <c r="A23" t="s">
        <v>6</v>
      </c>
      <c r="B23" s="57">
        <f>SUM(B24:B30)</f>
        <v>133147</v>
      </c>
      <c r="C23" s="57">
        <f>SUM(C24:C30)</f>
        <v>273673</v>
      </c>
      <c r="D23" s="57"/>
      <c r="H23" t="s">
        <v>14</v>
      </c>
      <c r="I23" s="32">
        <v>4320942</v>
      </c>
      <c r="M23" s="131" t="s">
        <v>15</v>
      </c>
      <c r="N23" s="130">
        <v>7737193</v>
      </c>
    </row>
    <row r="24" spans="1:14" x14ac:dyDescent="0.2">
      <c r="A24" s="129" t="s">
        <v>36</v>
      </c>
      <c r="B24" s="130">
        <v>11902</v>
      </c>
      <c r="C24" s="138">
        <v>1594</v>
      </c>
      <c r="H24" t="s">
        <v>23</v>
      </c>
      <c r="I24" s="32">
        <v>3283408</v>
      </c>
      <c r="M24" s="131" t="s">
        <v>41</v>
      </c>
      <c r="N24" s="130">
        <v>7734754</v>
      </c>
    </row>
    <row r="25" spans="1:14" x14ac:dyDescent="0.2">
      <c r="A25" s="129" t="s">
        <v>10</v>
      </c>
      <c r="B25" s="130">
        <v>-7144</v>
      </c>
      <c r="C25" s="144">
        <v>34288</v>
      </c>
      <c r="D25" s="144"/>
      <c r="H25" t="s">
        <v>31</v>
      </c>
      <c r="I25" s="32">
        <v>3021491</v>
      </c>
      <c r="M25" s="131" t="s">
        <v>24</v>
      </c>
      <c r="N25" s="130">
        <v>7012069</v>
      </c>
    </row>
    <row r="26" spans="1:14" x14ac:dyDescent="0.2">
      <c r="A26" s="129" t="s">
        <v>13</v>
      </c>
      <c r="B26" s="130">
        <v>71356</v>
      </c>
      <c r="C26" s="138">
        <v>145873</v>
      </c>
      <c r="H26" t="s">
        <v>34</v>
      </c>
      <c r="I26" s="32">
        <v>2161850</v>
      </c>
      <c r="M26" s="131" t="s">
        <v>30</v>
      </c>
      <c r="N26" s="130">
        <v>6842973</v>
      </c>
    </row>
    <row r="27" spans="1:14" x14ac:dyDescent="0.2">
      <c r="A27" s="129" t="s">
        <v>16</v>
      </c>
      <c r="B27" s="130">
        <v>41333</v>
      </c>
      <c r="C27" s="138">
        <v>70355</v>
      </c>
    </row>
    <row r="28" spans="1:14" x14ac:dyDescent="0.2">
      <c r="A28" s="129" t="s">
        <v>19</v>
      </c>
      <c r="B28" s="130">
        <v>3726</v>
      </c>
      <c r="C28" s="138">
        <v>2400</v>
      </c>
      <c r="H28" t="s">
        <v>42</v>
      </c>
      <c r="M28" t="s">
        <v>43</v>
      </c>
    </row>
    <row r="29" spans="1:14" ht="16" thickBot="1" x14ac:dyDescent="0.25">
      <c r="A29" s="129" t="s">
        <v>22</v>
      </c>
      <c r="B29" s="150">
        <v>11487</v>
      </c>
      <c r="C29" s="138">
        <v>15405</v>
      </c>
      <c r="H29" s="147" t="s">
        <v>6</v>
      </c>
      <c r="I29" s="148">
        <v>11986036555</v>
      </c>
      <c r="M29" s="147" t="s">
        <v>6</v>
      </c>
      <c r="N29" s="150">
        <v>16217950.699999999</v>
      </c>
    </row>
    <row r="30" spans="1:14" x14ac:dyDescent="0.2">
      <c r="A30" s="129" t="s">
        <v>25</v>
      </c>
      <c r="B30" s="130">
        <v>487</v>
      </c>
      <c r="C30" s="138">
        <v>3758</v>
      </c>
      <c r="H30" t="s">
        <v>26</v>
      </c>
      <c r="I30" s="32">
        <v>2750817</v>
      </c>
      <c r="M30" s="131" t="s">
        <v>15</v>
      </c>
      <c r="N30" s="130">
        <v>1868524</v>
      </c>
    </row>
    <row r="31" spans="1:14" x14ac:dyDescent="0.2">
      <c r="H31" t="s">
        <v>8</v>
      </c>
      <c r="I31" s="32">
        <v>1710575</v>
      </c>
      <c r="M31" s="131" t="s">
        <v>24</v>
      </c>
      <c r="N31" s="130">
        <v>1603290</v>
      </c>
    </row>
    <row r="32" spans="1:14" x14ac:dyDescent="0.2">
      <c r="H32" t="s">
        <v>44</v>
      </c>
      <c r="I32" s="32">
        <v>772602</v>
      </c>
      <c r="M32" s="131" t="s">
        <v>12</v>
      </c>
      <c r="N32" s="130">
        <v>1201012</v>
      </c>
    </row>
    <row r="33" spans="1:14" x14ac:dyDescent="0.2">
      <c r="A33" t="s">
        <v>46</v>
      </c>
      <c r="B33" s="135">
        <v>2026</v>
      </c>
      <c r="C33" s="142">
        <v>2025</v>
      </c>
      <c r="D33" s="142"/>
      <c r="H33" t="s">
        <v>29</v>
      </c>
      <c r="I33" s="32">
        <v>595936</v>
      </c>
      <c r="M33" s="131" t="s">
        <v>30</v>
      </c>
      <c r="N33" s="130">
        <v>1158058</v>
      </c>
    </row>
    <row r="34" spans="1:14" x14ac:dyDescent="0.2">
      <c r="A34" t="s">
        <v>6</v>
      </c>
      <c r="B34" s="57">
        <f>SUM(B35:B41)</f>
        <v>7144612</v>
      </c>
      <c r="C34" s="57">
        <f>SUM(C35:C41)</f>
        <v>6630811</v>
      </c>
      <c r="D34" s="57"/>
      <c r="H34" t="s">
        <v>17</v>
      </c>
      <c r="I34" s="32">
        <v>442125.43</v>
      </c>
      <c r="M34" s="131" t="s">
        <v>45</v>
      </c>
      <c r="N34" s="130">
        <v>889819</v>
      </c>
    </row>
    <row r="35" spans="1:14" x14ac:dyDescent="0.2">
      <c r="A35" s="129" t="s">
        <v>36</v>
      </c>
      <c r="B35" s="130">
        <v>2780048</v>
      </c>
      <c r="C35" s="145">
        <v>2557083</v>
      </c>
      <c r="D35" s="145"/>
      <c r="H35" t="s">
        <v>47</v>
      </c>
      <c r="I35" s="32">
        <v>415959</v>
      </c>
      <c r="M35" s="131" t="s">
        <v>21</v>
      </c>
      <c r="N35" s="130">
        <v>853913</v>
      </c>
    </row>
    <row r="36" spans="1:14" x14ac:dyDescent="0.2">
      <c r="A36" s="129" t="s">
        <v>10</v>
      </c>
      <c r="B36" s="130">
        <v>1576800</v>
      </c>
      <c r="C36" s="145">
        <v>1508956</v>
      </c>
      <c r="D36" s="145"/>
      <c r="H36" t="s">
        <v>11</v>
      </c>
      <c r="I36" s="32">
        <v>398078</v>
      </c>
      <c r="M36" s="131" t="s">
        <v>9</v>
      </c>
      <c r="N36" s="130">
        <v>824494</v>
      </c>
    </row>
    <row r="37" spans="1:14" x14ac:dyDescent="0.2">
      <c r="A37" s="129" t="s">
        <v>13</v>
      </c>
      <c r="B37" s="130">
        <v>-2005410</v>
      </c>
      <c r="C37" s="146">
        <v>-1127393</v>
      </c>
      <c r="D37" s="146"/>
      <c r="H37" t="s">
        <v>34</v>
      </c>
      <c r="I37" s="32">
        <v>375075</v>
      </c>
      <c r="M37" s="131" t="s">
        <v>18</v>
      </c>
      <c r="N37" s="130">
        <v>807599</v>
      </c>
    </row>
    <row r="38" spans="1:14" x14ac:dyDescent="0.2">
      <c r="A38" s="129" t="s">
        <v>16</v>
      </c>
      <c r="B38" s="130">
        <v>1799317</v>
      </c>
      <c r="C38" s="136">
        <v>1606042</v>
      </c>
      <c r="D38" s="136"/>
      <c r="H38" t="s">
        <v>14</v>
      </c>
      <c r="I38" s="32">
        <v>360608</v>
      </c>
      <c r="M38" s="131" t="s">
        <v>32</v>
      </c>
      <c r="N38" s="130">
        <v>642520</v>
      </c>
    </row>
    <row r="39" spans="1:14" x14ac:dyDescent="0.2">
      <c r="A39" s="129" t="s">
        <v>19</v>
      </c>
      <c r="B39" s="130">
        <v>897366</v>
      </c>
      <c r="C39" s="143">
        <v>775497</v>
      </c>
      <c r="D39" s="143"/>
      <c r="H39" t="s">
        <v>20</v>
      </c>
      <c r="I39" s="32">
        <v>353825</v>
      </c>
      <c r="M39" s="131" t="s">
        <v>48</v>
      </c>
      <c r="N39" s="130">
        <v>619598</v>
      </c>
    </row>
    <row r="40" spans="1:14" x14ac:dyDescent="0.2">
      <c r="A40" s="129" t="s">
        <v>22</v>
      </c>
      <c r="B40" s="150">
        <v>1188375</v>
      </c>
      <c r="C40" s="136">
        <v>975080</v>
      </c>
      <c r="D40" s="136"/>
    </row>
    <row r="41" spans="1:14" x14ac:dyDescent="0.2">
      <c r="A41" s="129" t="s">
        <v>25</v>
      </c>
      <c r="B41" s="130">
        <v>908116</v>
      </c>
      <c r="C41" s="136">
        <v>335546</v>
      </c>
      <c r="D41" s="136"/>
      <c r="H41" t="s">
        <v>49</v>
      </c>
      <c r="M41" t="s">
        <v>50</v>
      </c>
    </row>
    <row r="42" spans="1:14" ht="16" thickBot="1" x14ac:dyDescent="0.25">
      <c r="H42" s="147" t="s">
        <v>6</v>
      </c>
      <c r="I42" s="148">
        <v>1774230768</v>
      </c>
      <c r="M42" s="147" t="s">
        <v>6</v>
      </c>
      <c r="N42" s="150">
        <v>-500478.41</v>
      </c>
    </row>
    <row r="43" spans="1:14" x14ac:dyDescent="0.2">
      <c r="A43" t="s">
        <v>52</v>
      </c>
      <c r="B43" s="135">
        <v>2026</v>
      </c>
      <c r="C43" s="142">
        <v>2025</v>
      </c>
      <c r="D43" s="142"/>
      <c r="H43" t="s">
        <v>8</v>
      </c>
      <c r="I43" s="32">
        <v>176062</v>
      </c>
      <c r="M43" s="130" t="s">
        <v>21</v>
      </c>
      <c r="N43" s="130">
        <v>401972</v>
      </c>
    </row>
    <row r="44" spans="1:14" x14ac:dyDescent="0.2">
      <c r="A44" t="s">
        <v>6</v>
      </c>
      <c r="B44" s="57">
        <f>SUM(B45:B51)</f>
        <v>122707</v>
      </c>
      <c r="C44" s="57">
        <f>SUM(C45:C51)</f>
        <v>275304</v>
      </c>
      <c r="D44" s="57"/>
      <c r="H44" t="s">
        <v>51</v>
      </c>
      <c r="I44" s="32">
        <v>165888</v>
      </c>
      <c r="M44" s="130" t="s">
        <v>12</v>
      </c>
      <c r="N44" s="130">
        <v>144845</v>
      </c>
    </row>
    <row r="45" spans="1:14" x14ac:dyDescent="0.2">
      <c r="A45" s="129" t="s">
        <v>36</v>
      </c>
      <c r="B45" s="32">
        <v>6397</v>
      </c>
      <c r="C45" s="143">
        <v>15045</v>
      </c>
      <c r="D45" s="143"/>
      <c r="H45" t="s">
        <v>31</v>
      </c>
      <c r="I45" s="32">
        <v>130552</v>
      </c>
      <c r="M45" s="130" t="s">
        <v>15</v>
      </c>
      <c r="N45" s="130">
        <v>116009</v>
      </c>
    </row>
    <row r="46" spans="1:14" x14ac:dyDescent="0.2">
      <c r="A46" s="129" t="s">
        <v>10</v>
      </c>
      <c r="B46" s="32">
        <v>-5736</v>
      </c>
      <c r="C46" s="143">
        <v>56563</v>
      </c>
      <c r="D46" s="143"/>
      <c r="H46" t="s">
        <v>26</v>
      </c>
      <c r="I46" s="32">
        <v>113001</v>
      </c>
      <c r="M46" s="130" t="s">
        <v>18</v>
      </c>
      <c r="N46" s="130">
        <v>106537</v>
      </c>
    </row>
    <row r="47" spans="1:14" x14ac:dyDescent="0.2">
      <c r="A47" s="129" t="s">
        <v>13</v>
      </c>
      <c r="B47" s="32">
        <v>70585</v>
      </c>
      <c r="C47" s="143">
        <v>112090</v>
      </c>
      <c r="D47" s="143"/>
      <c r="H47" t="s">
        <v>20</v>
      </c>
      <c r="I47" s="32">
        <v>81627</v>
      </c>
      <c r="M47" s="130" t="s">
        <v>24</v>
      </c>
      <c r="N47" s="130">
        <v>63060</v>
      </c>
    </row>
    <row r="48" spans="1:14" x14ac:dyDescent="0.2">
      <c r="A48" s="129" t="s">
        <v>16</v>
      </c>
      <c r="B48" s="32">
        <v>42447</v>
      </c>
      <c r="C48" s="143">
        <v>65838</v>
      </c>
      <c r="D48" s="143"/>
      <c r="H48" t="s">
        <v>14</v>
      </c>
      <c r="I48" s="32">
        <v>77736</v>
      </c>
      <c r="M48" s="130" t="s">
        <v>53</v>
      </c>
      <c r="N48" s="130">
        <v>60587</v>
      </c>
    </row>
    <row r="49" spans="1:14" x14ac:dyDescent="0.2">
      <c r="A49" s="129" t="s">
        <v>19</v>
      </c>
      <c r="B49" s="130">
        <v>3594</v>
      </c>
      <c r="C49" s="143">
        <v>2102</v>
      </c>
      <c r="D49" s="143"/>
      <c r="H49" t="s">
        <v>29</v>
      </c>
      <c r="I49" s="32">
        <v>72817</v>
      </c>
      <c r="M49" s="130" t="s">
        <v>54</v>
      </c>
      <c r="N49" s="130">
        <v>37479</v>
      </c>
    </row>
    <row r="50" spans="1:14" x14ac:dyDescent="0.2">
      <c r="A50" s="129" t="s">
        <v>22</v>
      </c>
      <c r="C50" s="143">
        <v>20681</v>
      </c>
      <c r="D50" s="143"/>
      <c r="H50" t="s">
        <v>17</v>
      </c>
      <c r="I50" s="32">
        <v>67841.48</v>
      </c>
      <c r="M50" s="130" t="s">
        <v>45</v>
      </c>
      <c r="N50" s="130">
        <v>19914</v>
      </c>
    </row>
    <row r="51" spans="1:14" x14ac:dyDescent="0.2">
      <c r="A51" s="129" t="s">
        <v>25</v>
      </c>
      <c r="B51" s="32">
        <v>5420</v>
      </c>
      <c r="C51" s="143">
        <v>2985</v>
      </c>
      <c r="D51" s="143"/>
      <c r="H51" t="s">
        <v>55</v>
      </c>
      <c r="I51" s="32">
        <v>67735</v>
      </c>
      <c r="M51" s="130" t="s">
        <v>56</v>
      </c>
      <c r="N51" s="130">
        <v>19796</v>
      </c>
    </row>
    <row r="52" spans="1:14" x14ac:dyDescent="0.2">
      <c r="H52" t="s">
        <v>44</v>
      </c>
      <c r="I52" s="32">
        <v>59173</v>
      </c>
      <c r="M52" s="130" t="s">
        <v>32</v>
      </c>
      <c r="N52" s="130">
        <v>19297</v>
      </c>
    </row>
    <row r="53" spans="1:14" x14ac:dyDescent="0.2">
      <c r="A53" t="s">
        <v>63</v>
      </c>
      <c r="B53" s="135">
        <v>2026</v>
      </c>
      <c r="C53" s="142">
        <v>2025</v>
      </c>
      <c r="D53" s="142"/>
    </row>
    <row r="54" spans="1:14" x14ac:dyDescent="0.2">
      <c r="A54" t="s">
        <v>59</v>
      </c>
      <c r="B54" s="134">
        <f>AVERAGE(B55:B61)</f>
        <v>3.2023428571428574</v>
      </c>
      <c r="C54" s="134">
        <f>AVERAGE(C55:C61)</f>
        <v>3.4089999999999998</v>
      </c>
      <c r="D54" s="134"/>
      <c r="H54" t="s">
        <v>57</v>
      </c>
      <c r="M54" t="s">
        <v>58</v>
      </c>
    </row>
    <row r="55" spans="1:14" x14ac:dyDescent="0.2">
      <c r="A55" s="129" t="s">
        <v>36</v>
      </c>
      <c r="B55" s="23">
        <v>1.3494999999999999</v>
      </c>
      <c r="C55" s="139">
        <v>1.3551</v>
      </c>
      <c r="D55" s="139"/>
      <c r="H55" s="147" t="s">
        <v>59</v>
      </c>
      <c r="I55" s="86">
        <v>3.6469723076923</v>
      </c>
      <c r="M55" s="147" t="s">
        <v>59</v>
      </c>
      <c r="N55" s="151">
        <v>48.534097872339999</v>
      </c>
    </row>
    <row r="56" spans="1:14" x14ac:dyDescent="0.2">
      <c r="A56" s="129" t="s">
        <v>10</v>
      </c>
      <c r="B56" s="23">
        <v>1.6526000000000001</v>
      </c>
      <c r="C56" s="24">
        <v>2.5356999999999998</v>
      </c>
      <c r="D56" s="24"/>
      <c r="H56" t="s">
        <v>60</v>
      </c>
      <c r="I56" s="55">
        <v>19.63</v>
      </c>
      <c r="M56" s="129" t="s">
        <v>61</v>
      </c>
      <c r="N56" s="23">
        <v>29.74</v>
      </c>
    </row>
    <row r="57" spans="1:14" x14ac:dyDescent="0.2">
      <c r="A57" s="129" t="s">
        <v>13</v>
      </c>
      <c r="B57" s="23">
        <v>-1.7114</v>
      </c>
      <c r="C57" s="140">
        <v>-0.79990000000000006</v>
      </c>
      <c r="D57" s="140"/>
      <c r="H57" t="s">
        <v>20</v>
      </c>
      <c r="I57" s="23">
        <v>8.1616</v>
      </c>
      <c r="M57" s="129" t="s">
        <v>64</v>
      </c>
      <c r="N57" s="23">
        <v>17.34</v>
      </c>
    </row>
    <row r="58" spans="1:14" x14ac:dyDescent="0.2">
      <c r="A58" s="129" t="s">
        <v>16</v>
      </c>
      <c r="B58" s="55">
        <v>1.92</v>
      </c>
      <c r="C58" s="24">
        <v>1.78</v>
      </c>
      <c r="D58" s="24"/>
      <c r="H58" t="s">
        <v>65</v>
      </c>
      <c r="I58" s="55">
        <v>8.0299999999999994</v>
      </c>
      <c r="M58" s="129" t="s">
        <v>39</v>
      </c>
      <c r="N58" s="23">
        <v>13.703900000000001</v>
      </c>
    </row>
    <row r="59" spans="1:14" x14ac:dyDescent="0.2">
      <c r="A59" s="129" t="s">
        <v>19</v>
      </c>
      <c r="B59" s="49">
        <v>11.586</v>
      </c>
      <c r="C59" s="24">
        <v>13.0688</v>
      </c>
      <c r="D59" s="24"/>
      <c r="H59" t="s">
        <v>67</v>
      </c>
      <c r="I59" s="55">
        <v>7.73</v>
      </c>
      <c r="M59" s="129" t="s">
        <v>68</v>
      </c>
      <c r="N59" s="23">
        <v>11.771000000000001</v>
      </c>
    </row>
    <row r="60" spans="1:14" x14ac:dyDescent="0.2">
      <c r="A60" s="129" t="s">
        <v>22</v>
      </c>
      <c r="B60" s="86">
        <v>3.2071000000000001</v>
      </c>
      <c r="C60" s="141">
        <v>2.8729</v>
      </c>
      <c r="D60" s="141"/>
      <c r="H60" t="s">
        <v>70</v>
      </c>
      <c r="I60" s="23">
        <v>7.2218</v>
      </c>
      <c r="M60" s="129" t="s">
        <v>71</v>
      </c>
      <c r="N60" s="23">
        <v>10.99</v>
      </c>
    </row>
    <row r="61" spans="1:14" x14ac:dyDescent="0.2">
      <c r="A61" s="129" t="s">
        <v>25</v>
      </c>
      <c r="B61" s="23">
        <v>4.4126000000000003</v>
      </c>
      <c r="C61" s="141">
        <v>3.0503999999999998</v>
      </c>
      <c r="D61" s="141"/>
      <c r="H61" t="s">
        <v>73</v>
      </c>
      <c r="I61" s="23">
        <v>6.6761999999999997</v>
      </c>
      <c r="M61" s="129" t="s">
        <v>72</v>
      </c>
      <c r="N61" s="23">
        <v>9</v>
      </c>
    </row>
    <row r="62" spans="1:14" x14ac:dyDescent="0.2">
      <c r="H62" t="s">
        <v>74</v>
      </c>
      <c r="I62" s="55">
        <v>6.54</v>
      </c>
      <c r="M62" s="129" t="s">
        <v>69</v>
      </c>
      <c r="N62" s="23">
        <v>8.66</v>
      </c>
    </row>
    <row r="63" spans="1:14" x14ac:dyDescent="0.2">
      <c r="A63" t="s">
        <v>80</v>
      </c>
      <c r="B63" s="135">
        <v>2026</v>
      </c>
      <c r="C63" s="142">
        <v>2025</v>
      </c>
      <c r="D63" s="142"/>
      <c r="H63" t="s">
        <v>75</v>
      </c>
      <c r="I63" s="55">
        <v>6.32</v>
      </c>
      <c r="M63" s="129" t="s">
        <v>66</v>
      </c>
      <c r="N63" s="23">
        <v>8.5672999999999995</v>
      </c>
    </row>
    <row r="64" spans="1:14" x14ac:dyDescent="0.2">
      <c r="A64" t="s">
        <v>59</v>
      </c>
      <c r="B64" s="134">
        <f>AVERAGE(B65:B71)</f>
        <v>1.713442857142857</v>
      </c>
      <c r="C64" s="134">
        <f>AVERAGE(C65:C71)</f>
        <v>1.7928571428571429</v>
      </c>
      <c r="D64" s="134"/>
      <c r="H64" t="s">
        <v>76</v>
      </c>
      <c r="I64" s="23">
        <v>6.1885000000000003</v>
      </c>
      <c r="M64" s="129" t="s">
        <v>30</v>
      </c>
      <c r="N64" s="23">
        <v>8.3727</v>
      </c>
    </row>
    <row r="65" spans="1:14" x14ac:dyDescent="0.2">
      <c r="A65" s="129" t="s">
        <v>36</v>
      </c>
      <c r="B65" s="134">
        <v>1.2028000000000001</v>
      </c>
      <c r="C65" s="139">
        <v>1.3362000000000001</v>
      </c>
      <c r="D65" s="139"/>
      <c r="H65" t="s">
        <v>77</v>
      </c>
      <c r="I65" s="49">
        <v>5.9539999999999997</v>
      </c>
      <c r="M65" s="129" t="s">
        <v>62</v>
      </c>
      <c r="N65" s="23">
        <v>7.9726999999999997</v>
      </c>
    </row>
    <row r="66" spans="1:14" x14ac:dyDescent="0.2">
      <c r="A66" s="129" t="s">
        <v>10</v>
      </c>
      <c r="B66" s="134">
        <v>1.3035000000000001</v>
      </c>
      <c r="C66" s="24">
        <v>1.3381000000000001</v>
      </c>
      <c r="D66" s="24"/>
    </row>
    <row r="67" spans="1:14" x14ac:dyDescent="0.2">
      <c r="A67" s="129" t="s">
        <v>13</v>
      </c>
      <c r="B67" s="134">
        <v>0.92100000000000004</v>
      </c>
      <c r="C67" s="140">
        <v>1.052</v>
      </c>
      <c r="D67" s="140"/>
      <c r="H67" t="s">
        <v>78</v>
      </c>
      <c r="M67" t="s">
        <v>79</v>
      </c>
    </row>
    <row r="68" spans="1:14" x14ac:dyDescent="0.2">
      <c r="A68" s="129" t="s">
        <v>16</v>
      </c>
      <c r="B68" s="134">
        <v>1.92</v>
      </c>
      <c r="C68" s="26">
        <v>1.84</v>
      </c>
      <c r="D68" s="26"/>
      <c r="E68" s="138"/>
      <c r="H68" s="147" t="s">
        <v>59</v>
      </c>
      <c r="I68" s="47">
        <v>1.6256999999999999</v>
      </c>
      <c r="M68" s="147" t="s">
        <v>59</v>
      </c>
      <c r="N68" s="54">
        <v>45.507672340425998</v>
      </c>
    </row>
    <row r="69" spans="1:14" x14ac:dyDescent="0.2">
      <c r="A69" s="129" t="s">
        <v>19</v>
      </c>
      <c r="B69" s="134">
        <v>3.4201000000000001</v>
      </c>
      <c r="C69" s="24">
        <v>3.8626999999999998</v>
      </c>
      <c r="D69" s="24"/>
      <c r="E69" s="138"/>
      <c r="H69" t="s">
        <v>60</v>
      </c>
      <c r="I69" s="55">
        <v>3.47</v>
      </c>
      <c r="M69" s="129" t="s">
        <v>61</v>
      </c>
      <c r="N69" s="23">
        <v>7.79</v>
      </c>
    </row>
    <row r="70" spans="1:14" x14ac:dyDescent="0.2">
      <c r="A70" s="129" t="s">
        <v>22</v>
      </c>
      <c r="B70" s="50">
        <v>1.6153</v>
      </c>
      <c r="C70" s="141">
        <v>1.5593999999999999</v>
      </c>
      <c r="D70" s="141"/>
      <c r="E70" s="138"/>
      <c r="H70" t="s">
        <v>20</v>
      </c>
      <c r="I70" s="23">
        <v>3.0956000000000001</v>
      </c>
      <c r="M70" s="129" t="s">
        <v>68</v>
      </c>
      <c r="N70" s="23">
        <v>7.4253999999999998</v>
      </c>
    </row>
    <row r="71" spans="1:14" x14ac:dyDescent="0.2">
      <c r="A71" s="129" t="s">
        <v>25</v>
      </c>
      <c r="B71" s="134">
        <v>1.6113999999999999</v>
      </c>
      <c r="C71" s="141">
        <v>1.5616000000000001</v>
      </c>
      <c r="D71" s="141"/>
      <c r="E71" s="138"/>
      <c r="H71" t="s">
        <v>11</v>
      </c>
      <c r="I71" s="23">
        <v>2.3008000000000002</v>
      </c>
      <c r="M71" s="129" t="s">
        <v>66</v>
      </c>
      <c r="N71" s="23">
        <v>6.4760999999999997</v>
      </c>
    </row>
    <row r="72" spans="1:14" x14ac:dyDescent="0.2">
      <c r="E72" s="138"/>
      <c r="H72" t="s">
        <v>73</v>
      </c>
      <c r="I72" s="23">
        <v>2.2905000000000002</v>
      </c>
      <c r="M72" s="129" t="s">
        <v>83</v>
      </c>
      <c r="N72" s="23">
        <v>5.1994999999999996</v>
      </c>
    </row>
    <row r="73" spans="1:14" x14ac:dyDescent="0.2">
      <c r="A73" t="s">
        <v>87</v>
      </c>
      <c r="B73" s="135">
        <v>2026</v>
      </c>
      <c r="C73" s="142">
        <v>2025</v>
      </c>
      <c r="D73" s="142"/>
      <c r="E73" s="138"/>
      <c r="H73" t="s">
        <v>84</v>
      </c>
      <c r="I73" s="23">
        <v>2.1798000000000002</v>
      </c>
      <c r="M73" s="129" t="s">
        <v>62</v>
      </c>
      <c r="N73" s="23">
        <v>5.1079999999999997</v>
      </c>
    </row>
    <row r="74" spans="1:14" ht="16" x14ac:dyDescent="0.2">
      <c r="A74" s="149" t="s">
        <v>6</v>
      </c>
      <c r="B74" s="57">
        <f>SUM(B75:B81)</f>
        <v>40121055</v>
      </c>
      <c r="C74" s="57">
        <f>SUM(C75:C81)</f>
        <v>39421909</v>
      </c>
      <c r="D74" s="57"/>
      <c r="E74" s="138"/>
      <c r="H74" t="s">
        <v>31</v>
      </c>
      <c r="I74" s="23">
        <v>2.1434000000000002</v>
      </c>
      <c r="M74" s="129" t="s">
        <v>85</v>
      </c>
      <c r="N74" s="23">
        <v>4.4028999999999998</v>
      </c>
    </row>
    <row r="75" spans="1:14" x14ac:dyDescent="0.2">
      <c r="A75" s="129" t="s">
        <v>36</v>
      </c>
      <c r="B75" s="130">
        <v>12972004</v>
      </c>
      <c r="C75" s="138">
        <v>13572403</v>
      </c>
      <c r="H75" t="s">
        <v>76</v>
      </c>
      <c r="I75" s="55">
        <v>2.11</v>
      </c>
      <c r="M75" s="129" t="s">
        <v>72</v>
      </c>
      <c r="N75" s="23">
        <v>4.08</v>
      </c>
    </row>
    <row r="76" spans="1:14" x14ac:dyDescent="0.2">
      <c r="A76" s="129" t="s">
        <v>10</v>
      </c>
      <c r="B76" s="130">
        <v>5622306</v>
      </c>
      <c r="C76" s="138">
        <v>5033338</v>
      </c>
      <c r="H76" t="s">
        <v>86</v>
      </c>
      <c r="I76" s="55">
        <v>2.1</v>
      </c>
      <c r="M76" s="129" t="s">
        <v>82</v>
      </c>
      <c r="N76" s="23">
        <v>3.3689</v>
      </c>
    </row>
    <row r="77" spans="1:14" x14ac:dyDescent="0.2">
      <c r="A77" s="129" t="s">
        <v>13</v>
      </c>
      <c r="B77" s="130">
        <v>6429215</v>
      </c>
      <c r="C77" s="138">
        <v>8259199</v>
      </c>
      <c r="H77" t="s">
        <v>75</v>
      </c>
      <c r="I77" s="55">
        <v>2.08</v>
      </c>
      <c r="M77" s="129" t="s">
        <v>53</v>
      </c>
      <c r="N77" s="23">
        <v>3.22</v>
      </c>
    </row>
    <row r="78" spans="1:14" x14ac:dyDescent="0.2">
      <c r="A78" s="129" t="s">
        <v>16</v>
      </c>
      <c r="B78" s="130">
        <v>7230344</v>
      </c>
      <c r="C78" s="138">
        <v>6272720</v>
      </c>
      <c r="H78" t="s">
        <v>77</v>
      </c>
      <c r="I78" s="49">
        <v>2.0579999999999998</v>
      </c>
      <c r="M78" s="129" t="s">
        <v>81</v>
      </c>
      <c r="N78" s="23">
        <v>2.9203000000000001</v>
      </c>
    </row>
    <row r="79" spans="1:14" x14ac:dyDescent="0.2">
      <c r="A79" s="129" t="s">
        <v>19</v>
      </c>
      <c r="B79" s="130">
        <v>1219165</v>
      </c>
      <c r="C79" s="138">
        <v>1033972</v>
      </c>
    </row>
    <row r="80" spans="1:14" x14ac:dyDescent="0.2">
      <c r="A80" s="129" t="s">
        <v>22</v>
      </c>
      <c r="B80" s="150">
        <v>4561072</v>
      </c>
      <c r="C80" s="138">
        <v>4372746</v>
      </c>
    </row>
    <row r="81" spans="1:3" x14ac:dyDescent="0.2">
      <c r="A81" s="129" t="s">
        <v>25</v>
      </c>
      <c r="B81" s="130">
        <v>2086949</v>
      </c>
      <c r="C81" s="138">
        <v>877531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D655-1BB0-49EA-88D3-7D8B7B3BF44B}">
  <dimension ref="A1:CB56"/>
  <sheetViews>
    <sheetView topLeftCell="A14" zoomScale="50" zoomScaleNormal="77" workbookViewId="0">
      <selection activeCell="AW3" sqref="AW3"/>
    </sheetView>
  </sheetViews>
  <sheetFormatPr baseColWidth="10" defaultColWidth="8.83203125" defaultRowHeight="15" x14ac:dyDescent="0.2"/>
  <cols>
    <col min="1" max="1" width="17.83203125" customWidth="1"/>
    <col min="2" max="2" width="11.5" style="1" bestFit="1" customWidth="1"/>
    <col min="3" max="3" width="10.5" bestFit="1" customWidth="1"/>
    <col min="4" max="7" width="11.5" bestFit="1" customWidth="1"/>
    <col min="8" max="8" width="13.1640625" bestFit="1" customWidth="1"/>
    <col min="9" max="9" width="11.5" bestFit="1" customWidth="1"/>
    <col min="10" max="10" width="14.1640625" customWidth="1"/>
    <col min="11" max="11" width="15.33203125" style="1" customWidth="1"/>
    <col min="12" max="12" width="12.33203125" customWidth="1"/>
    <col min="13" max="13" width="15.1640625" customWidth="1"/>
    <col min="14" max="14" width="14.6640625" customWidth="1"/>
    <col min="15" max="15" width="14.5" customWidth="1"/>
    <col min="16" max="16" width="12.83203125" bestFit="1" customWidth="1"/>
    <col min="17" max="17" width="14" customWidth="1"/>
    <col min="18" max="18" width="16.83203125" customWidth="1"/>
    <col min="19" max="19" width="14.5" bestFit="1" customWidth="1"/>
    <col min="20" max="20" width="14.83203125" customWidth="1"/>
    <col min="21" max="21" width="8.6640625" style="1"/>
    <col min="22" max="22" width="12.1640625" customWidth="1"/>
    <col min="23" max="23" width="10.33203125" customWidth="1"/>
    <col min="24" max="24" width="13.33203125" customWidth="1"/>
    <col min="25" max="30" width="8.83203125" bestFit="1" customWidth="1"/>
    <col min="31" max="31" width="8.6640625" style="1"/>
    <col min="32" max="32" width="10.83203125" customWidth="1"/>
    <col min="33" max="33" width="14.6640625" customWidth="1"/>
    <col min="34" max="39" width="8.83203125" bestFit="1" customWidth="1"/>
    <col min="40" max="40" width="11.6640625" bestFit="1" customWidth="1"/>
    <col min="41" max="41" width="8.6640625" style="1"/>
    <col min="42" max="42" width="11.5" customWidth="1"/>
    <col min="43" max="43" width="12.1640625" bestFit="1" customWidth="1"/>
    <col min="44" max="44" width="13.83203125" bestFit="1" customWidth="1"/>
    <col min="45" max="45" width="12.1640625" bestFit="1" customWidth="1"/>
    <col min="46" max="46" width="13.83203125" bestFit="1" customWidth="1"/>
    <col min="47" max="48" width="12.1640625" bestFit="1" customWidth="1"/>
    <col min="49" max="49" width="14.1640625" customWidth="1"/>
    <col min="50" max="50" width="14.5" bestFit="1" customWidth="1"/>
    <col min="52" max="52" width="12.6640625" bestFit="1" customWidth="1"/>
    <col min="53" max="53" width="12.6640625" customWidth="1"/>
    <col min="54" max="54" width="14.1640625" bestFit="1" customWidth="1"/>
    <col min="55" max="56" width="13.33203125" bestFit="1" customWidth="1"/>
    <col min="57" max="57" width="15.33203125" bestFit="1" customWidth="1"/>
    <col min="58" max="58" width="13.83203125" bestFit="1" customWidth="1"/>
    <col min="59" max="59" width="14.33203125" bestFit="1" customWidth="1"/>
    <col min="60" max="60" width="17.1640625" customWidth="1"/>
    <col min="63" max="63" width="12.5" customWidth="1"/>
    <col min="64" max="64" width="14.83203125" customWidth="1"/>
    <col min="65" max="65" width="14.33203125" customWidth="1"/>
    <col min="66" max="66" width="12.5" bestFit="1" customWidth="1"/>
    <col min="67" max="67" width="13.1640625" bestFit="1" customWidth="1"/>
    <col min="68" max="68" width="11.1640625" customWidth="1"/>
    <col min="69" max="69" width="17.5" bestFit="1" customWidth="1"/>
    <col min="70" max="70" width="17.5" customWidth="1"/>
    <col min="71" max="71" width="12.5" bestFit="1" customWidth="1"/>
    <col min="73" max="73" width="12.33203125" customWidth="1"/>
    <col min="74" max="74" width="14.6640625" bestFit="1" customWidth="1"/>
    <col min="75" max="75" width="13.5" bestFit="1" customWidth="1"/>
    <col min="76" max="76" width="13.83203125" bestFit="1" customWidth="1"/>
    <col min="77" max="77" width="14.5" customWidth="1"/>
    <col min="78" max="79" width="13.83203125" bestFit="1" customWidth="1"/>
    <col min="80" max="80" width="18.83203125" customWidth="1"/>
  </cols>
  <sheetData>
    <row r="1" spans="1:80" ht="58" customHeight="1" x14ac:dyDescent="0.2">
      <c r="A1" s="171" t="s">
        <v>153</v>
      </c>
      <c r="B1" s="171"/>
      <c r="C1" s="171"/>
      <c r="D1" s="171"/>
      <c r="E1" s="171"/>
      <c r="F1" s="171"/>
      <c r="G1" s="171"/>
      <c r="H1" s="171"/>
      <c r="I1" s="171"/>
      <c r="K1" s="171" t="s">
        <v>154</v>
      </c>
      <c r="L1" s="171"/>
      <c r="M1" s="171"/>
      <c r="N1" s="171"/>
      <c r="O1" s="171"/>
      <c r="P1" s="171"/>
      <c r="Q1" s="171"/>
      <c r="R1" s="171"/>
      <c r="S1" s="171"/>
      <c r="U1" s="171" t="s">
        <v>155</v>
      </c>
      <c r="V1" s="171"/>
      <c r="W1" s="171"/>
      <c r="X1" s="171"/>
      <c r="Y1" s="171"/>
      <c r="Z1" s="171"/>
      <c r="AA1" s="171"/>
      <c r="AB1" s="171"/>
      <c r="AC1" s="171"/>
      <c r="AE1" s="171" t="s">
        <v>156</v>
      </c>
      <c r="AF1" s="171"/>
      <c r="AG1" s="171"/>
      <c r="AH1" s="171"/>
      <c r="AI1" s="171"/>
      <c r="AJ1" s="171"/>
      <c r="AK1" s="171"/>
      <c r="AL1" s="171"/>
      <c r="AM1" s="171"/>
      <c r="AO1" s="171" t="s">
        <v>157</v>
      </c>
      <c r="AP1" s="171"/>
      <c r="AQ1" s="171"/>
      <c r="AR1" s="171"/>
      <c r="AS1" s="171"/>
      <c r="AT1" s="171"/>
      <c r="AU1" s="171"/>
      <c r="AV1" s="171"/>
      <c r="AW1" s="171"/>
      <c r="AZ1" s="176" t="s">
        <v>158</v>
      </c>
      <c r="BA1" s="176"/>
      <c r="BB1" s="176"/>
      <c r="BC1" s="176"/>
      <c r="BD1" s="176"/>
      <c r="BE1" s="176"/>
      <c r="BF1" s="176"/>
      <c r="BG1" s="176"/>
      <c r="BH1" s="176"/>
      <c r="BK1" s="176" t="s">
        <v>159</v>
      </c>
      <c r="BL1" s="176"/>
      <c r="BM1" s="176"/>
      <c r="BN1" s="176"/>
      <c r="BO1" s="176"/>
      <c r="BP1" s="176"/>
      <c r="BQ1" s="176"/>
      <c r="BR1" s="176"/>
      <c r="BU1" s="176" t="s">
        <v>160</v>
      </c>
      <c r="BV1" s="176"/>
      <c r="BW1" s="176"/>
      <c r="BX1" s="176"/>
      <c r="BY1" s="176"/>
      <c r="BZ1" s="176"/>
      <c r="CA1" s="176"/>
      <c r="CB1" s="176"/>
    </row>
    <row r="2" spans="1:80" ht="32" x14ac:dyDescent="0.2">
      <c r="A2" s="2"/>
      <c r="B2" s="3"/>
      <c r="C2" s="2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166</v>
      </c>
      <c r="I2" s="2" t="s">
        <v>167</v>
      </c>
      <c r="J2" s="22" t="s">
        <v>168</v>
      </c>
      <c r="K2" s="3"/>
      <c r="L2" s="58" t="s">
        <v>169</v>
      </c>
      <c r="M2" s="58" t="s">
        <v>167</v>
      </c>
      <c r="N2" s="58" t="s">
        <v>161</v>
      </c>
      <c r="O2" s="58" t="s">
        <v>162</v>
      </c>
      <c r="P2" s="58" t="s">
        <v>163</v>
      </c>
      <c r="Q2" s="58" t="s">
        <v>164</v>
      </c>
      <c r="R2" s="58" t="s">
        <v>165</v>
      </c>
      <c r="S2" s="58" t="s">
        <v>166</v>
      </c>
      <c r="U2" s="3"/>
      <c r="V2" s="2"/>
      <c r="W2" s="2" t="s">
        <v>161</v>
      </c>
      <c r="X2" s="2" t="s">
        <v>162</v>
      </c>
      <c r="Y2" s="2" t="s">
        <v>163</v>
      </c>
      <c r="Z2" s="2" t="s">
        <v>164</v>
      </c>
      <c r="AA2" s="2" t="s">
        <v>165</v>
      </c>
      <c r="AB2" s="2" t="s">
        <v>166</v>
      </c>
      <c r="AC2" s="2" t="s">
        <v>167</v>
      </c>
      <c r="AD2" s="22" t="s">
        <v>59</v>
      </c>
      <c r="AE2" s="3"/>
      <c r="AF2" s="2"/>
      <c r="AG2" s="2" t="s">
        <v>167</v>
      </c>
      <c r="AH2" s="2" t="s">
        <v>161</v>
      </c>
      <c r="AI2" s="2" t="s">
        <v>162</v>
      </c>
      <c r="AJ2" s="2" t="s">
        <v>163</v>
      </c>
      <c r="AK2" s="2" t="s">
        <v>164</v>
      </c>
      <c r="AL2" s="2" t="s">
        <v>165</v>
      </c>
      <c r="AM2" s="2" t="s">
        <v>166</v>
      </c>
      <c r="AN2" s="22" t="s">
        <v>170</v>
      </c>
      <c r="AO2" s="3"/>
      <c r="AP2" s="2" t="s">
        <v>171</v>
      </c>
      <c r="AQ2" s="87" t="s">
        <v>161</v>
      </c>
      <c r="AR2" s="87" t="s">
        <v>162</v>
      </c>
      <c r="AS2" s="87" t="s">
        <v>163</v>
      </c>
      <c r="AT2" s="87" t="s">
        <v>164</v>
      </c>
      <c r="AU2" s="87" t="s">
        <v>165</v>
      </c>
      <c r="AV2" s="87" t="s">
        <v>166</v>
      </c>
      <c r="AW2" s="98" t="s">
        <v>167</v>
      </c>
      <c r="AX2" s="87" t="s">
        <v>168</v>
      </c>
      <c r="AZ2" s="2" t="s">
        <v>171</v>
      </c>
      <c r="BA2" s="87" t="s">
        <v>167</v>
      </c>
      <c r="BB2" s="87" t="s">
        <v>161</v>
      </c>
      <c r="BC2" s="87" t="s">
        <v>162</v>
      </c>
      <c r="BD2" s="87" t="s">
        <v>163</v>
      </c>
      <c r="BE2" s="87" t="s">
        <v>164</v>
      </c>
      <c r="BF2" s="87" t="s">
        <v>165</v>
      </c>
      <c r="BG2" s="87" t="s">
        <v>166</v>
      </c>
      <c r="BH2" s="103" t="s">
        <v>168</v>
      </c>
      <c r="BK2" s="2" t="s">
        <v>171</v>
      </c>
      <c r="BL2" s="87" t="s">
        <v>167</v>
      </c>
      <c r="BM2" s="87" t="s">
        <v>161</v>
      </c>
      <c r="BN2" s="87" t="s">
        <v>162</v>
      </c>
      <c r="BO2" s="87" t="s">
        <v>163</v>
      </c>
      <c r="BP2" s="87" t="s">
        <v>164</v>
      </c>
      <c r="BQ2" s="87" t="s">
        <v>165</v>
      </c>
      <c r="BR2" s="87" t="s">
        <v>166</v>
      </c>
      <c r="BS2" s="103" t="s">
        <v>168</v>
      </c>
      <c r="BU2" s="2" t="s">
        <v>171</v>
      </c>
      <c r="BV2" s="87" t="s">
        <v>167</v>
      </c>
      <c r="BW2" s="87" t="s">
        <v>161</v>
      </c>
      <c r="BX2" s="87" t="s">
        <v>162</v>
      </c>
      <c r="BY2" s="87" t="s">
        <v>163</v>
      </c>
      <c r="BZ2" s="87" t="s">
        <v>164</v>
      </c>
      <c r="CA2" s="87" t="s">
        <v>165</v>
      </c>
      <c r="CB2" s="87" t="s">
        <v>166</v>
      </c>
    </row>
    <row r="3" spans="1:80" ht="16" x14ac:dyDescent="0.2">
      <c r="A3" s="3"/>
      <c r="B3" s="4" t="s">
        <v>172</v>
      </c>
      <c r="C3" s="5">
        <v>2231</v>
      </c>
      <c r="D3" s="5">
        <v>410915</v>
      </c>
      <c r="E3" s="5">
        <v>143190</v>
      </c>
      <c r="F3" s="5">
        <v>438402</v>
      </c>
      <c r="G3" s="5">
        <v>1113064</v>
      </c>
      <c r="H3" s="5">
        <v>85797</v>
      </c>
      <c r="I3" s="30">
        <v>451716</v>
      </c>
      <c r="J3" s="32">
        <f t="shared" ref="J3:J13" si="0">SUM(C3:I3)</f>
        <v>2645315</v>
      </c>
      <c r="K3" s="3"/>
      <c r="L3" s="58" t="s">
        <v>172</v>
      </c>
      <c r="M3" s="42">
        <v>2557083</v>
      </c>
      <c r="N3" s="40">
        <v>775497</v>
      </c>
      <c r="O3" s="41">
        <v>-1127393</v>
      </c>
      <c r="P3" s="42">
        <v>1508956</v>
      </c>
      <c r="Q3" s="43">
        <v>1606042</v>
      </c>
      <c r="R3" s="43">
        <v>975080</v>
      </c>
      <c r="S3" s="43">
        <v>335546</v>
      </c>
      <c r="T3" s="51">
        <f>SUM(M3:S3)</f>
        <v>6630811</v>
      </c>
      <c r="U3" s="3"/>
      <c r="V3" s="2" t="s">
        <v>172</v>
      </c>
      <c r="W3" s="15">
        <v>13.0688</v>
      </c>
      <c r="X3" s="16">
        <v>-0.79990000000000006</v>
      </c>
      <c r="Y3" s="15">
        <v>2.5356999999999998</v>
      </c>
      <c r="Z3" s="15">
        <v>1.78</v>
      </c>
      <c r="AA3" s="17">
        <v>2.8729</v>
      </c>
      <c r="AB3" s="17">
        <v>3.0503999999999998</v>
      </c>
      <c r="AC3" s="14">
        <v>1.3551</v>
      </c>
      <c r="AD3" s="23">
        <f>AVERAGE(W3:AC3)</f>
        <v>3.4089999999999998</v>
      </c>
      <c r="AE3" s="3"/>
      <c r="AF3" s="2" t="s">
        <v>172</v>
      </c>
      <c r="AG3" s="14">
        <v>1.3362000000000001</v>
      </c>
      <c r="AH3" s="15">
        <v>3.8626999999999998</v>
      </c>
      <c r="AI3" s="16">
        <v>1.052</v>
      </c>
      <c r="AJ3" s="15">
        <v>1.3381000000000001</v>
      </c>
      <c r="AK3" s="18">
        <v>1.84</v>
      </c>
      <c r="AL3" s="17">
        <v>1.5593999999999999</v>
      </c>
      <c r="AM3" s="17">
        <v>1.5616000000000001</v>
      </c>
      <c r="AO3" s="3"/>
      <c r="AP3" s="2" t="s">
        <v>172</v>
      </c>
      <c r="AQ3" s="56">
        <v>2102</v>
      </c>
      <c r="AR3" s="56">
        <v>112090</v>
      </c>
      <c r="AS3" s="56">
        <v>56563</v>
      </c>
      <c r="AT3" s="56">
        <v>65838</v>
      </c>
      <c r="AU3" s="56">
        <v>20681</v>
      </c>
      <c r="AV3" s="56">
        <v>2985</v>
      </c>
      <c r="AW3" s="99">
        <v>15045</v>
      </c>
      <c r="AX3" s="100">
        <f>(SUM(AQ3:AW3))</f>
        <v>275304</v>
      </c>
      <c r="AZ3" s="2" t="s">
        <v>172</v>
      </c>
      <c r="BA3" s="89">
        <v>389558</v>
      </c>
      <c r="BB3" s="89">
        <v>2025</v>
      </c>
      <c r="BC3" s="90">
        <v>337554</v>
      </c>
      <c r="BD3" s="90">
        <v>116500</v>
      </c>
      <c r="BE3" s="90">
        <v>380466</v>
      </c>
      <c r="BF3" s="90">
        <v>1101069</v>
      </c>
      <c r="BG3" s="90">
        <v>69676</v>
      </c>
      <c r="BH3" s="128">
        <f>SUM(BA3:BG3)</f>
        <v>2396848</v>
      </c>
      <c r="BK3" s="2" t="s">
        <v>172</v>
      </c>
      <c r="BL3" s="97">
        <v>1594</v>
      </c>
      <c r="BM3" s="97">
        <v>2400</v>
      </c>
      <c r="BN3" s="97">
        <v>145873</v>
      </c>
      <c r="BO3" s="97">
        <v>34288</v>
      </c>
      <c r="BP3" s="97">
        <v>70355</v>
      </c>
      <c r="BQ3" s="97">
        <v>15405</v>
      </c>
      <c r="BR3" s="97">
        <v>3758</v>
      </c>
      <c r="BS3" s="111">
        <f>SUM(BL3:BR3)</f>
        <v>273673</v>
      </c>
      <c r="BT3" s="57"/>
      <c r="BU3" s="56" t="s">
        <v>172</v>
      </c>
      <c r="BV3" s="91">
        <v>13572403</v>
      </c>
      <c r="BW3" s="91">
        <v>1033972</v>
      </c>
      <c r="BX3" s="91">
        <v>8259199</v>
      </c>
      <c r="BY3" s="91">
        <v>5033338</v>
      </c>
      <c r="BZ3" s="91">
        <v>6272720</v>
      </c>
      <c r="CA3" s="91">
        <v>4372746</v>
      </c>
      <c r="CB3" s="91">
        <v>877531</v>
      </c>
    </row>
    <row r="4" spans="1:80" ht="16" x14ac:dyDescent="0.2">
      <c r="A4" s="3"/>
      <c r="B4" s="4" t="s">
        <v>173</v>
      </c>
      <c r="C4" s="5">
        <v>30364</v>
      </c>
      <c r="D4" s="5">
        <v>1077069</v>
      </c>
      <c r="E4" s="5">
        <v>464246</v>
      </c>
      <c r="F4" s="5">
        <v>624256</v>
      </c>
      <c r="G4" s="5">
        <v>1681787</v>
      </c>
      <c r="H4" s="5">
        <v>177957</v>
      </c>
      <c r="I4" s="30">
        <v>1033818</v>
      </c>
      <c r="J4" s="32">
        <f t="shared" si="0"/>
        <v>5089497</v>
      </c>
      <c r="K4" s="3"/>
      <c r="L4" s="58" t="s">
        <v>173</v>
      </c>
      <c r="M4" s="42">
        <v>2493244</v>
      </c>
      <c r="N4" s="40">
        <v>780028</v>
      </c>
      <c r="O4" s="41">
        <v>-1086672</v>
      </c>
      <c r="P4" s="42">
        <v>1541256</v>
      </c>
      <c r="Q4" s="43">
        <v>1583183</v>
      </c>
      <c r="R4" s="43">
        <v>985707</v>
      </c>
      <c r="S4" s="43">
        <v>337070</v>
      </c>
      <c r="T4" s="51">
        <f t="shared" ref="T4:T14" si="1">SUM(M4:S4)</f>
        <v>6633816</v>
      </c>
      <c r="U4" s="3"/>
      <c r="V4" s="2" t="s">
        <v>173</v>
      </c>
      <c r="W4" s="15">
        <v>12.4259</v>
      </c>
      <c r="X4" s="16">
        <v>-0.876</v>
      </c>
      <c r="Y4" s="15">
        <v>2.4085000000000001</v>
      </c>
      <c r="Z4" s="15">
        <v>1.8</v>
      </c>
      <c r="AA4" s="17">
        <v>2.9068000000000001</v>
      </c>
      <c r="AB4" s="17">
        <v>2.7913999999999999</v>
      </c>
      <c r="AC4" s="14">
        <v>1.298</v>
      </c>
      <c r="AD4" s="23">
        <f t="shared" ref="AD4:AD13" si="2">AVERAGE(W4:AC4)</f>
        <v>3.2506571428571434</v>
      </c>
      <c r="AE4" s="3"/>
      <c r="AF4" s="2" t="s">
        <v>173</v>
      </c>
      <c r="AG4" s="14">
        <v>1.3275999999999999</v>
      </c>
      <c r="AH4" s="15">
        <v>3.6821000000000002</v>
      </c>
      <c r="AI4" s="16">
        <v>1.073</v>
      </c>
      <c r="AJ4" s="15">
        <v>1.3347</v>
      </c>
      <c r="AK4" s="18">
        <v>1.95</v>
      </c>
      <c r="AL4" s="17">
        <v>1.5203</v>
      </c>
      <c r="AM4" s="17">
        <v>1.4772000000000001</v>
      </c>
      <c r="AN4" s="23">
        <f t="shared" ref="AN4:AN13" si="3">AVERAGE(AG3:AM3)</f>
        <v>1.7928571428571429</v>
      </c>
      <c r="AO4" s="3"/>
      <c r="AP4" s="2" t="s">
        <v>173</v>
      </c>
      <c r="AQ4" s="56">
        <v>3429</v>
      </c>
      <c r="AR4" s="56">
        <v>145880</v>
      </c>
      <c r="AS4" s="56">
        <v>76149</v>
      </c>
      <c r="AT4" s="56">
        <v>48686</v>
      </c>
      <c r="AU4" s="56">
        <v>25570</v>
      </c>
      <c r="AV4" s="56">
        <v>5459</v>
      </c>
      <c r="AW4" s="99">
        <v>-37553</v>
      </c>
      <c r="AX4" s="100">
        <f t="shared" ref="AX4:AX14" si="4">(SUM(AQ4:AW4))</f>
        <v>267620</v>
      </c>
      <c r="AZ4" s="2" t="s">
        <v>173</v>
      </c>
      <c r="BA4" s="89">
        <v>868545</v>
      </c>
      <c r="BB4" s="89">
        <v>20320</v>
      </c>
      <c r="BC4" s="90">
        <v>882968</v>
      </c>
      <c r="BD4" s="89">
        <v>383687</v>
      </c>
      <c r="BE4" s="90">
        <v>519508</v>
      </c>
      <c r="BF4" s="90">
        <v>1656439</v>
      </c>
      <c r="BG4" s="90">
        <v>147923</v>
      </c>
      <c r="BH4" s="128">
        <f t="shared" ref="BH4:BH14" si="5">SUM(BA4:BG4)</f>
        <v>4479390</v>
      </c>
      <c r="BK4" s="2" t="s">
        <v>173</v>
      </c>
      <c r="BL4" s="97">
        <v>-52424</v>
      </c>
      <c r="BM4" s="97">
        <v>8825</v>
      </c>
      <c r="BN4" s="97">
        <v>214147</v>
      </c>
      <c r="BO4" s="97">
        <v>38905</v>
      </c>
      <c r="BP4" s="97">
        <v>51243</v>
      </c>
      <c r="BQ4" s="97">
        <v>18169</v>
      </c>
      <c r="BR4" s="97">
        <v>8320</v>
      </c>
      <c r="BS4" s="111">
        <f t="shared" ref="BS4:BS14" si="6">SUM(BL4:BR4)</f>
        <v>287185</v>
      </c>
      <c r="BT4" s="57"/>
      <c r="BU4" s="56" t="s">
        <v>173</v>
      </c>
      <c r="BV4" s="91">
        <v>13588443</v>
      </c>
      <c r="BW4" s="91">
        <v>1051638</v>
      </c>
      <c r="BX4" s="91">
        <v>8302032</v>
      </c>
      <c r="BY4" s="91">
        <v>5165855</v>
      </c>
      <c r="BZ4" s="91">
        <v>6233954</v>
      </c>
      <c r="CA4" s="91">
        <v>4512610</v>
      </c>
      <c r="CB4" s="91">
        <v>952194</v>
      </c>
    </row>
    <row r="5" spans="1:80" ht="16" x14ac:dyDescent="0.2">
      <c r="A5" s="3"/>
      <c r="B5" s="3" t="s">
        <v>174</v>
      </c>
      <c r="C5" s="5">
        <v>65945</v>
      </c>
      <c r="D5" s="5">
        <v>1214480</v>
      </c>
      <c r="E5" s="5">
        <v>824044</v>
      </c>
      <c r="F5" s="5">
        <v>1055207</v>
      </c>
      <c r="G5" s="5">
        <v>2225449</v>
      </c>
      <c r="H5" s="5">
        <v>257758</v>
      </c>
      <c r="I5" s="30">
        <v>1498329</v>
      </c>
      <c r="J5" s="32">
        <f t="shared" si="0"/>
        <v>7141212</v>
      </c>
      <c r="K5" s="3"/>
      <c r="L5" s="58" t="s">
        <v>174</v>
      </c>
      <c r="M5" s="42">
        <v>2469929</v>
      </c>
      <c r="N5" s="40">
        <v>781719</v>
      </c>
      <c r="O5" s="41">
        <v>-1045573</v>
      </c>
      <c r="P5" s="42">
        <v>1491352</v>
      </c>
      <c r="Q5" s="43">
        <v>1586505</v>
      </c>
      <c r="R5" s="43">
        <v>908175</v>
      </c>
      <c r="S5" s="43">
        <v>335247</v>
      </c>
      <c r="T5" s="51">
        <f t="shared" si="1"/>
        <v>6527354</v>
      </c>
      <c r="U5" s="3"/>
      <c r="V5" s="2" t="s">
        <v>174</v>
      </c>
      <c r="W5" s="15">
        <v>11.0313</v>
      </c>
      <c r="X5" s="16">
        <v>-0.72719999999999996</v>
      </c>
      <c r="Y5" s="15">
        <v>2.3708999999999998</v>
      </c>
      <c r="Z5" s="15">
        <v>1.81</v>
      </c>
      <c r="AA5" s="17">
        <v>2.6168</v>
      </c>
      <c r="AB5" s="17">
        <v>2.9599000000000002</v>
      </c>
      <c r="AC5" s="14">
        <v>1.3472</v>
      </c>
      <c r="AD5" s="23">
        <f t="shared" si="2"/>
        <v>3.058414285714286</v>
      </c>
      <c r="AE5" s="3"/>
      <c r="AF5" s="2" t="s">
        <v>174</v>
      </c>
      <c r="AG5" s="14">
        <v>1.3302</v>
      </c>
      <c r="AH5" s="15">
        <v>3.4870999999999999</v>
      </c>
      <c r="AI5" s="16">
        <v>1.0780000000000001</v>
      </c>
      <c r="AJ5" s="15">
        <v>1.3117000000000001</v>
      </c>
      <c r="AK5" s="18">
        <v>2.04</v>
      </c>
      <c r="AL5" s="17">
        <v>1.5922000000000001</v>
      </c>
      <c r="AM5" s="17">
        <v>1.4644999999999999</v>
      </c>
      <c r="AN5" s="23">
        <f t="shared" si="3"/>
        <v>1.7664142857142857</v>
      </c>
      <c r="AO5" s="3"/>
      <c r="AP5" s="2" t="s">
        <v>174</v>
      </c>
      <c r="AQ5" s="56">
        <v>8824</v>
      </c>
      <c r="AR5" s="56">
        <v>193366</v>
      </c>
      <c r="AS5" s="56">
        <v>50819</v>
      </c>
      <c r="AT5" s="56">
        <v>50068</v>
      </c>
      <c r="AU5" s="56">
        <v>8745</v>
      </c>
      <c r="AV5" s="56">
        <v>3262</v>
      </c>
      <c r="AW5" s="99">
        <v>-32899</v>
      </c>
      <c r="AX5" s="100">
        <f t="shared" si="4"/>
        <v>282185</v>
      </c>
      <c r="AZ5" s="2" t="s">
        <v>174</v>
      </c>
      <c r="BA5" s="89">
        <v>1251828</v>
      </c>
      <c r="BB5" s="89">
        <v>43547</v>
      </c>
      <c r="BC5" s="90">
        <v>991392</v>
      </c>
      <c r="BD5" s="89">
        <v>695029</v>
      </c>
      <c r="BE5" s="90">
        <v>824182</v>
      </c>
      <c r="BF5" s="90">
        <v>2169931</v>
      </c>
      <c r="BG5" s="90">
        <v>212065</v>
      </c>
      <c r="BH5" s="128">
        <f t="shared" si="5"/>
        <v>6187974</v>
      </c>
      <c r="BK5" s="2" t="s">
        <v>174</v>
      </c>
      <c r="BL5" s="97">
        <v>-49406</v>
      </c>
      <c r="BM5" s="97">
        <v>19683</v>
      </c>
      <c r="BN5" s="97">
        <v>274549</v>
      </c>
      <c r="BO5" s="97">
        <v>10987</v>
      </c>
      <c r="BP5" s="97">
        <v>44309</v>
      </c>
      <c r="BQ5" s="97">
        <v>16510</v>
      </c>
      <c r="BR5" s="97">
        <v>6300</v>
      </c>
      <c r="BS5" s="111">
        <f t="shared" si="6"/>
        <v>322932</v>
      </c>
      <c r="BT5" s="57"/>
      <c r="BU5" s="56" t="s">
        <v>174</v>
      </c>
      <c r="BV5" s="91">
        <v>13334571</v>
      </c>
      <c r="BW5" s="91">
        <v>1051647</v>
      </c>
      <c r="BX5" s="91">
        <v>7957213</v>
      </c>
      <c r="BY5" s="91">
        <v>5219627</v>
      </c>
      <c r="BZ5" s="91">
        <v>6250925</v>
      </c>
      <c r="CA5" s="91">
        <v>4407860</v>
      </c>
      <c r="CB5" s="91">
        <v>1006414</v>
      </c>
    </row>
    <row r="6" spans="1:80" ht="16" x14ac:dyDescent="0.2">
      <c r="A6" s="3"/>
      <c r="B6" s="3" t="s">
        <v>175</v>
      </c>
      <c r="C6" s="5">
        <v>100172</v>
      </c>
      <c r="D6" s="5">
        <v>1246050</v>
      </c>
      <c r="E6" s="5">
        <v>1095407</v>
      </c>
      <c r="F6" s="5">
        <v>1262767</v>
      </c>
      <c r="G6" s="5">
        <v>4517015</v>
      </c>
      <c r="H6" s="5">
        <v>344219</v>
      </c>
      <c r="I6" s="30">
        <v>1873951</v>
      </c>
      <c r="J6" s="32">
        <f t="shared" si="0"/>
        <v>10439581</v>
      </c>
      <c r="K6" s="3"/>
      <c r="L6" s="58" t="s">
        <v>175</v>
      </c>
      <c r="M6" s="42">
        <v>2543996</v>
      </c>
      <c r="N6" s="40">
        <v>787922</v>
      </c>
      <c r="O6" s="41">
        <v>-1002514</v>
      </c>
      <c r="P6" s="42">
        <v>1536427</v>
      </c>
      <c r="Q6" s="43">
        <v>1615745</v>
      </c>
      <c r="R6" s="43">
        <v>908175</v>
      </c>
      <c r="S6" s="43">
        <v>336301</v>
      </c>
      <c r="T6" s="51">
        <f t="shared" si="1"/>
        <v>6726052</v>
      </c>
      <c r="U6" s="3"/>
      <c r="V6" s="2" t="s">
        <v>175</v>
      </c>
      <c r="W6" s="15">
        <v>10.9368</v>
      </c>
      <c r="X6" s="16">
        <v>-0.67930000000000001</v>
      </c>
      <c r="Y6" s="15">
        <v>2.0508999999999999</v>
      </c>
      <c r="Z6" s="15">
        <v>1.81</v>
      </c>
      <c r="AA6" s="17">
        <v>2.6168</v>
      </c>
      <c r="AB6" s="17">
        <v>2.0933000000000002</v>
      </c>
      <c r="AC6" s="14">
        <v>1.3862000000000001</v>
      </c>
      <c r="AD6" s="23">
        <f t="shared" si="2"/>
        <v>2.8878142857142857</v>
      </c>
      <c r="AE6" s="3"/>
      <c r="AF6" s="2" t="s">
        <v>175</v>
      </c>
      <c r="AG6" s="14">
        <v>1.1935</v>
      </c>
      <c r="AH6" s="15">
        <v>3.4870999999999999</v>
      </c>
      <c r="AI6" s="16">
        <v>1.0920000000000001</v>
      </c>
      <c r="AJ6" s="15">
        <v>1.3325</v>
      </c>
      <c r="AK6" s="18">
        <v>1.99</v>
      </c>
      <c r="AL6" s="17">
        <v>1.4641</v>
      </c>
      <c r="AM6" s="17">
        <v>1.4229000000000001</v>
      </c>
      <c r="AN6" s="23">
        <f t="shared" si="3"/>
        <v>1.7576714285714286</v>
      </c>
      <c r="AO6" s="3"/>
      <c r="AP6" s="2" t="s">
        <v>175</v>
      </c>
      <c r="AQ6" s="56">
        <v>14620</v>
      </c>
      <c r="AR6" s="56">
        <v>222437</v>
      </c>
      <c r="AS6" s="56">
        <v>60657</v>
      </c>
      <c r="AT6" s="56">
        <v>79886</v>
      </c>
      <c r="AU6" s="56">
        <v>47711</v>
      </c>
      <c r="AV6" s="56">
        <v>7854</v>
      </c>
      <c r="AW6" s="99">
        <v>-5516</v>
      </c>
      <c r="AX6" s="100">
        <f t="shared" si="4"/>
        <v>427649</v>
      </c>
      <c r="AZ6" s="2" t="s">
        <v>175</v>
      </c>
      <c r="BA6" s="89">
        <v>1573235</v>
      </c>
      <c r="BB6" s="89">
        <v>65823</v>
      </c>
      <c r="BC6" s="90">
        <v>1029294</v>
      </c>
      <c r="BD6" s="89">
        <v>925458</v>
      </c>
      <c r="BE6" s="90">
        <v>990588</v>
      </c>
      <c r="BF6" s="90">
        <v>4437999</v>
      </c>
      <c r="BG6" s="90">
        <v>280318</v>
      </c>
      <c r="BH6" s="128">
        <f t="shared" si="5"/>
        <v>9302715</v>
      </c>
      <c r="BK6" s="2" t="s">
        <v>175</v>
      </c>
      <c r="BL6" s="97">
        <v>-35728</v>
      </c>
      <c r="BM6" s="97">
        <v>26342</v>
      </c>
      <c r="BN6" s="97">
        <v>326480</v>
      </c>
      <c r="BO6" s="97">
        <v>5688</v>
      </c>
      <c r="BP6" s="97">
        <v>46520</v>
      </c>
      <c r="BQ6" s="97">
        <v>51790</v>
      </c>
      <c r="BR6" s="97">
        <v>13533</v>
      </c>
      <c r="BS6" s="111">
        <f t="shared" si="6"/>
        <v>434625</v>
      </c>
      <c r="BT6" s="57"/>
      <c r="BU6" s="56" t="s">
        <v>175</v>
      </c>
      <c r="BV6" s="91">
        <v>13335924</v>
      </c>
      <c r="BW6" s="91">
        <v>1081659</v>
      </c>
      <c r="BX6" s="91">
        <v>7686755</v>
      </c>
      <c r="BY6" s="91">
        <v>5159121</v>
      </c>
      <c r="BZ6" s="91">
        <v>6260887</v>
      </c>
      <c r="CA6" s="91">
        <v>4712134</v>
      </c>
      <c r="CB6" s="91">
        <v>1065820</v>
      </c>
    </row>
    <row r="7" spans="1:80" ht="16" x14ac:dyDescent="0.2">
      <c r="A7" s="3"/>
      <c r="B7" s="3" t="s">
        <v>176</v>
      </c>
      <c r="C7" s="5">
        <v>138163</v>
      </c>
      <c r="D7" s="5">
        <v>1195995</v>
      </c>
      <c r="E7" s="5">
        <v>1389155</v>
      </c>
      <c r="F7" s="5">
        <v>1685730</v>
      </c>
      <c r="G7" s="5">
        <v>4814799</v>
      </c>
      <c r="H7" s="5">
        <v>433306</v>
      </c>
      <c r="I7" s="31">
        <v>2456883</v>
      </c>
      <c r="J7" s="32">
        <f t="shared" si="0"/>
        <v>12114031</v>
      </c>
      <c r="K7" s="3"/>
      <c r="L7" s="58" t="s">
        <v>176</v>
      </c>
      <c r="M7" s="42">
        <v>2547660</v>
      </c>
      <c r="N7" s="40">
        <v>791857</v>
      </c>
      <c r="O7" s="41">
        <v>-2154426</v>
      </c>
      <c r="P7" s="42">
        <v>1550245</v>
      </c>
      <c r="Q7" s="43">
        <v>1613516</v>
      </c>
      <c r="R7" s="43">
        <v>990436</v>
      </c>
      <c r="S7" s="43">
        <v>339241</v>
      </c>
      <c r="T7" s="51">
        <f t="shared" si="1"/>
        <v>5678529</v>
      </c>
      <c r="U7" s="3"/>
      <c r="V7" s="2" t="s">
        <v>176</v>
      </c>
      <c r="W7" s="15">
        <v>10.810700000000001</v>
      </c>
      <c r="X7" s="16">
        <v>-1.6852</v>
      </c>
      <c r="Y7" s="15">
        <v>2.1225999999999998</v>
      </c>
      <c r="Z7" s="15">
        <v>1.71</v>
      </c>
      <c r="AA7" s="17">
        <v>2.8847999999999998</v>
      </c>
      <c r="AB7" s="17">
        <v>2.0886</v>
      </c>
      <c r="AC7" s="14">
        <v>1.3371</v>
      </c>
      <c r="AD7" s="23">
        <f t="shared" si="2"/>
        <v>2.7526571428571431</v>
      </c>
      <c r="AE7" s="3"/>
      <c r="AF7" s="2" t="s">
        <v>176</v>
      </c>
      <c r="AG7" s="14">
        <v>1.1897</v>
      </c>
      <c r="AH7" s="15">
        <v>3.0884</v>
      </c>
      <c r="AI7" s="20">
        <v>0.93</v>
      </c>
      <c r="AJ7" s="18">
        <v>1.34</v>
      </c>
      <c r="AK7" s="18">
        <v>2.0299999999999998</v>
      </c>
      <c r="AL7" s="17">
        <v>1.5286</v>
      </c>
      <c r="AM7" s="17">
        <v>1.401</v>
      </c>
      <c r="AN7" s="23">
        <f t="shared" si="3"/>
        <v>1.7117285714285715</v>
      </c>
      <c r="AO7" s="3"/>
      <c r="AP7" s="2" t="s">
        <v>176</v>
      </c>
      <c r="AQ7" s="56">
        <v>17806</v>
      </c>
      <c r="AR7" s="56">
        <v>303792</v>
      </c>
      <c r="AS7" s="56">
        <v>69932</v>
      </c>
      <c r="AT7" s="56">
        <v>75800</v>
      </c>
      <c r="AU7" s="56">
        <v>83991</v>
      </c>
      <c r="AV7" s="56">
        <v>10580</v>
      </c>
      <c r="AW7" s="99">
        <v>-17062</v>
      </c>
      <c r="AX7" s="100">
        <f t="shared" si="4"/>
        <v>544839</v>
      </c>
      <c r="AZ7" s="2" t="s">
        <v>176</v>
      </c>
      <c r="BA7" s="89">
        <v>2054360</v>
      </c>
      <c r="BB7" s="89">
        <v>90668</v>
      </c>
      <c r="BC7" s="90">
        <v>972979</v>
      </c>
      <c r="BD7" s="89">
        <v>1175946</v>
      </c>
      <c r="BE7" s="90">
        <v>1354164</v>
      </c>
      <c r="BF7" s="90">
        <v>4680758</v>
      </c>
      <c r="BG7" s="90">
        <v>350931</v>
      </c>
      <c r="BH7" s="128">
        <f t="shared" si="5"/>
        <v>10679806</v>
      </c>
      <c r="BK7" s="2" t="s">
        <v>176</v>
      </c>
      <c r="BL7" s="97">
        <v>-9355</v>
      </c>
      <c r="BM7" s="97">
        <v>28773</v>
      </c>
      <c r="BN7" s="97">
        <v>429879</v>
      </c>
      <c r="BO7" s="97">
        <v>27613</v>
      </c>
      <c r="BP7" s="97">
        <v>30948</v>
      </c>
      <c r="BQ7" s="97">
        <v>86575</v>
      </c>
      <c r="BR7" s="97">
        <v>18740</v>
      </c>
      <c r="BS7" s="111">
        <f t="shared" si="6"/>
        <v>613173</v>
      </c>
      <c r="BT7" s="57"/>
      <c r="BU7" s="56" t="s">
        <v>176</v>
      </c>
      <c r="BV7" s="91">
        <v>13331144</v>
      </c>
      <c r="BW7" s="91">
        <v>1093712</v>
      </c>
      <c r="BX7" s="91">
        <v>7083662</v>
      </c>
      <c r="BY7" s="91">
        <v>5127248</v>
      </c>
      <c r="BZ7" s="91">
        <v>6653103</v>
      </c>
      <c r="CA7" s="91">
        <v>4524972</v>
      </c>
      <c r="CB7" s="91">
        <v>1129086</v>
      </c>
    </row>
    <row r="8" spans="1:80" ht="16" x14ac:dyDescent="0.2">
      <c r="A8" s="3"/>
      <c r="B8" s="3" t="s">
        <v>177</v>
      </c>
      <c r="C8" s="5">
        <v>164028</v>
      </c>
      <c r="D8" s="5">
        <v>1625759</v>
      </c>
      <c r="E8" s="5">
        <v>1720543</v>
      </c>
      <c r="F8" s="5">
        <v>2102947</v>
      </c>
      <c r="G8" s="5">
        <v>4979728</v>
      </c>
      <c r="H8" s="5">
        <v>856398</v>
      </c>
      <c r="I8" s="30">
        <v>2978031</v>
      </c>
      <c r="J8" s="32">
        <f t="shared" si="0"/>
        <v>14427434</v>
      </c>
      <c r="K8" s="3"/>
      <c r="L8" s="58" t="s">
        <v>177</v>
      </c>
      <c r="M8" s="42">
        <v>2555177</v>
      </c>
      <c r="N8" s="40">
        <v>823936</v>
      </c>
      <c r="O8" s="41">
        <v>-2096749</v>
      </c>
      <c r="P8" s="42">
        <v>1556028</v>
      </c>
      <c r="Q8" s="43">
        <v>1637222</v>
      </c>
      <c r="R8" s="43">
        <v>994164</v>
      </c>
      <c r="S8" s="43">
        <v>623856</v>
      </c>
      <c r="T8" s="51">
        <f t="shared" si="1"/>
        <v>6093634</v>
      </c>
      <c r="U8" s="3"/>
      <c r="V8" s="2" t="s">
        <v>177</v>
      </c>
      <c r="W8" s="15">
        <v>11.857100000000001</v>
      </c>
      <c r="X8" s="16">
        <v>-1.5590999999999999</v>
      </c>
      <c r="Y8" s="15">
        <v>2.1139000000000001</v>
      </c>
      <c r="Z8" s="15">
        <v>1.73</v>
      </c>
      <c r="AA8" s="17">
        <v>2.9592000000000001</v>
      </c>
      <c r="AB8" s="17">
        <v>2.4927000000000001</v>
      </c>
      <c r="AC8" s="14">
        <v>1.33</v>
      </c>
      <c r="AD8" s="23">
        <f t="shared" si="2"/>
        <v>2.9891142857142858</v>
      </c>
      <c r="AE8" s="3"/>
      <c r="AF8" s="2" t="s">
        <v>177</v>
      </c>
      <c r="AG8" s="14">
        <v>1.1962999999999999</v>
      </c>
      <c r="AH8" s="15">
        <v>3.3410000000000002</v>
      </c>
      <c r="AI8" s="21">
        <v>0.97299999999999998</v>
      </c>
      <c r="AJ8" s="15">
        <v>1.3357000000000001</v>
      </c>
      <c r="AK8" s="18">
        <v>1.94</v>
      </c>
      <c r="AL8" s="17">
        <v>1.8666</v>
      </c>
      <c r="AM8" s="17">
        <v>1.4123000000000001</v>
      </c>
      <c r="AN8" s="23">
        <f t="shared" si="3"/>
        <v>1.6439571428571429</v>
      </c>
      <c r="AO8" s="3"/>
      <c r="AP8" s="2" t="s">
        <v>177</v>
      </c>
      <c r="AQ8" s="56">
        <v>23884</v>
      </c>
      <c r="AR8" s="56">
        <v>354891</v>
      </c>
      <c r="AS8" s="56">
        <v>69596</v>
      </c>
      <c r="AT8" s="56">
        <v>87705</v>
      </c>
      <c r="AU8" s="56">
        <v>82004</v>
      </c>
      <c r="AV8" s="56">
        <v>45914</v>
      </c>
      <c r="AW8" s="99">
        <v>-14148</v>
      </c>
      <c r="AX8" s="100">
        <f t="shared" si="4"/>
        <v>649846</v>
      </c>
      <c r="AZ8" s="2" t="s">
        <v>177</v>
      </c>
      <c r="BA8" s="89">
        <v>2480095</v>
      </c>
      <c r="BB8" s="89">
        <v>107648</v>
      </c>
      <c r="BC8" s="90">
        <v>1321964</v>
      </c>
      <c r="BD8" s="90">
        <v>1445501</v>
      </c>
      <c r="BE8" s="90">
        <v>1656721</v>
      </c>
      <c r="BF8" s="90">
        <v>4979728</v>
      </c>
      <c r="BG8" s="90">
        <v>714343</v>
      </c>
      <c r="BH8" s="128">
        <f t="shared" si="5"/>
        <v>12706000</v>
      </c>
      <c r="BK8" s="2" t="s">
        <v>177</v>
      </c>
      <c r="BL8" s="97">
        <v>10148</v>
      </c>
      <c r="BM8" s="97">
        <v>36214</v>
      </c>
      <c r="BN8" s="97">
        <v>487988</v>
      </c>
      <c r="BO8" s="97">
        <v>21503</v>
      </c>
      <c r="BP8" s="97">
        <v>38833</v>
      </c>
      <c r="BQ8" s="97">
        <v>93618</v>
      </c>
      <c r="BR8" s="97">
        <v>49042</v>
      </c>
      <c r="BS8" s="111">
        <f t="shared" si="6"/>
        <v>737346</v>
      </c>
      <c r="BT8" s="57"/>
      <c r="BU8" s="56" t="s">
        <v>177</v>
      </c>
      <c r="BV8" s="91">
        <v>13130253</v>
      </c>
      <c r="BW8" s="91">
        <v>1129389</v>
      </c>
      <c r="BX8" s="91">
        <v>6895729</v>
      </c>
      <c r="BY8" s="91">
        <v>5202580</v>
      </c>
      <c r="BZ8" s="91">
        <v>6832536</v>
      </c>
      <c r="CA8" s="91">
        <v>3775010</v>
      </c>
      <c r="CB8" s="91">
        <v>1964903</v>
      </c>
    </row>
    <row r="9" spans="1:80" ht="16" x14ac:dyDescent="0.2">
      <c r="A9" s="3"/>
      <c r="B9" s="3" t="s">
        <v>178</v>
      </c>
      <c r="C9" s="5">
        <v>198173</v>
      </c>
      <c r="D9" s="5">
        <v>1768587</v>
      </c>
      <c r="E9" s="5">
        <v>2056315</v>
      </c>
      <c r="F9" s="5">
        <v>2310680</v>
      </c>
      <c r="G9" s="5">
        <v>5504624</v>
      </c>
      <c r="H9" s="5">
        <v>922047</v>
      </c>
      <c r="I9" s="30">
        <v>3458988</v>
      </c>
      <c r="J9" s="32">
        <f t="shared" si="0"/>
        <v>16219414</v>
      </c>
      <c r="K9" s="3"/>
      <c r="L9" s="58" t="s">
        <v>178</v>
      </c>
      <c r="M9" s="42">
        <v>2593201</v>
      </c>
      <c r="N9" s="40">
        <v>841810</v>
      </c>
      <c r="O9" s="41">
        <v>-1928275</v>
      </c>
      <c r="P9" s="44">
        <v>1580785</v>
      </c>
      <c r="Q9" s="43">
        <v>1670076</v>
      </c>
      <c r="R9" s="43">
        <v>1011578</v>
      </c>
      <c r="S9" s="43">
        <v>625091</v>
      </c>
      <c r="T9" s="51">
        <f t="shared" si="1"/>
        <v>6394266</v>
      </c>
      <c r="U9" s="3"/>
      <c r="V9" s="2" t="s">
        <v>178</v>
      </c>
      <c r="W9" s="15">
        <v>11.6852</v>
      </c>
      <c r="X9" s="16">
        <v>-1.7834000000000001</v>
      </c>
      <c r="Y9" s="15">
        <v>1.6463000000000001</v>
      </c>
      <c r="Z9" s="15">
        <v>1.71</v>
      </c>
      <c r="AA9" s="17">
        <v>2.8319999999999999</v>
      </c>
      <c r="AB9" s="17">
        <v>2.7080000000000002</v>
      </c>
      <c r="AC9" s="14">
        <v>1.3147</v>
      </c>
      <c r="AD9" s="23">
        <f t="shared" si="2"/>
        <v>2.8732571428571423</v>
      </c>
      <c r="AE9" s="3"/>
      <c r="AF9" s="2" t="s">
        <v>178</v>
      </c>
      <c r="AG9" s="14">
        <v>1.1987000000000001</v>
      </c>
      <c r="AH9" s="15">
        <v>3.7555000000000001</v>
      </c>
      <c r="AI9" s="21">
        <v>0.89500000000000002</v>
      </c>
      <c r="AJ9" s="15">
        <v>1.3426</v>
      </c>
      <c r="AK9" s="18">
        <v>1.93</v>
      </c>
      <c r="AL9" s="17">
        <v>1.8207</v>
      </c>
      <c r="AM9" s="17">
        <v>1.4417</v>
      </c>
      <c r="AN9" s="23">
        <f t="shared" si="3"/>
        <v>1.7235571428571428</v>
      </c>
      <c r="AO9" s="3"/>
      <c r="AP9" s="2" t="s">
        <v>178</v>
      </c>
      <c r="AQ9" s="56">
        <v>39508</v>
      </c>
      <c r="AR9" s="56">
        <v>515405</v>
      </c>
      <c r="AS9" s="56">
        <v>83155</v>
      </c>
      <c r="AT9" s="56">
        <v>113109</v>
      </c>
      <c r="AU9" s="56">
        <v>97349</v>
      </c>
      <c r="AV9" s="56">
        <v>51017</v>
      </c>
      <c r="AW9" s="99">
        <v>-1067</v>
      </c>
      <c r="AX9" s="100">
        <f t="shared" si="4"/>
        <v>898476</v>
      </c>
      <c r="AZ9" s="2" t="s">
        <v>178</v>
      </c>
      <c r="BA9" s="89">
        <v>2877426</v>
      </c>
      <c r="BB9" s="89">
        <v>129931</v>
      </c>
      <c r="BC9" s="90">
        <v>1435561</v>
      </c>
      <c r="BD9" s="90">
        <v>1741981</v>
      </c>
      <c r="BE9" s="90">
        <v>1809837</v>
      </c>
      <c r="BF9" s="90">
        <v>5266191</v>
      </c>
      <c r="BG9" s="90">
        <v>741896</v>
      </c>
      <c r="BH9" s="128">
        <f t="shared" si="5"/>
        <v>14002823</v>
      </c>
      <c r="BK9" s="2" t="s">
        <v>178</v>
      </c>
      <c r="BL9" s="97">
        <v>1332</v>
      </c>
      <c r="BM9" s="97">
        <v>58080</v>
      </c>
      <c r="BN9" s="97">
        <v>513436</v>
      </c>
      <c r="BO9" s="97">
        <v>26338</v>
      </c>
      <c r="BP9" s="97">
        <v>47574</v>
      </c>
      <c r="BQ9" s="97">
        <v>118629</v>
      </c>
      <c r="BR9" s="97">
        <v>41521</v>
      </c>
      <c r="BS9" s="111">
        <f t="shared" si="6"/>
        <v>806910</v>
      </c>
      <c r="BT9" s="57"/>
      <c r="BU9" s="56" t="s">
        <v>178</v>
      </c>
      <c r="BV9" s="91">
        <v>13166048</v>
      </c>
      <c r="BW9" s="91">
        <v>1112379</v>
      </c>
      <c r="BX9" s="91">
        <v>6832581</v>
      </c>
      <c r="BY9" s="91">
        <v>5226112</v>
      </c>
      <c r="BZ9" s="91">
        <v>6900032</v>
      </c>
      <c r="CA9" s="91">
        <v>3831028</v>
      </c>
      <c r="CB9" s="91">
        <v>1778319</v>
      </c>
    </row>
    <row r="10" spans="1:80" ht="16" x14ac:dyDescent="0.2">
      <c r="A10" s="3"/>
      <c r="B10" s="3" t="s">
        <v>179</v>
      </c>
      <c r="C10" s="5">
        <v>237458</v>
      </c>
      <c r="D10" s="5">
        <v>2202928</v>
      </c>
      <c r="E10" s="5">
        <v>2413428</v>
      </c>
      <c r="F10" s="5">
        <v>2506724</v>
      </c>
      <c r="G10" s="5">
        <v>6054336</v>
      </c>
      <c r="H10" s="5">
        <v>991193</v>
      </c>
      <c r="I10" s="30">
        <v>3755632</v>
      </c>
      <c r="J10" s="32">
        <f t="shared" si="0"/>
        <v>18161699</v>
      </c>
      <c r="K10" s="3"/>
      <c r="L10" s="58" t="s">
        <v>179</v>
      </c>
      <c r="M10" s="42">
        <v>2638913</v>
      </c>
      <c r="N10" s="40">
        <v>854291</v>
      </c>
      <c r="O10" s="41">
        <v>-1905693</v>
      </c>
      <c r="P10" s="42">
        <v>1612342</v>
      </c>
      <c r="Q10" s="43">
        <v>1700338</v>
      </c>
      <c r="R10" s="43">
        <v>1035872</v>
      </c>
      <c r="S10" s="43">
        <v>629744</v>
      </c>
      <c r="T10" s="51">
        <f t="shared" si="1"/>
        <v>6565807</v>
      </c>
      <c r="U10" s="3"/>
      <c r="V10" s="2" t="s">
        <v>179</v>
      </c>
      <c r="W10" s="15">
        <v>11.900700000000001</v>
      </c>
      <c r="X10" s="16">
        <v>-1.7358</v>
      </c>
      <c r="Y10" s="15">
        <v>1.7536</v>
      </c>
      <c r="Z10" s="15">
        <v>1.81</v>
      </c>
      <c r="AA10" s="17">
        <v>2.7235999999999998</v>
      </c>
      <c r="AB10" s="17">
        <v>3.3142</v>
      </c>
      <c r="AC10" s="14">
        <v>1.3152999999999999</v>
      </c>
      <c r="AD10" s="23">
        <f t="shared" si="2"/>
        <v>3.011657142857143</v>
      </c>
      <c r="AE10" s="3"/>
      <c r="AF10" s="2" t="s">
        <v>179</v>
      </c>
      <c r="AG10" s="14">
        <v>1.2050000000000001</v>
      </c>
      <c r="AH10" s="15">
        <v>3.6139000000000001</v>
      </c>
      <c r="AI10" s="21">
        <v>0.95899999999999996</v>
      </c>
      <c r="AJ10" s="15">
        <v>1.3452</v>
      </c>
      <c r="AK10" s="18">
        <v>1.88</v>
      </c>
      <c r="AL10" s="17">
        <v>1.6489</v>
      </c>
      <c r="AM10" s="17">
        <v>1.5789</v>
      </c>
      <c r="AN10" s="23">
        <f t="shared" si="3"/>
        <v>1.7691714285714286</v>
      </c>
      <c r="AO10" s="3"/>
      <c r="AP10" s="2" t="s">
        <v>179</v>
      </c>
      <c r="AQ10" s="56">
        <v>45815</v>
      </c>
      <c r="AR10" s="56">
        <v>526890</v>
      </c>
      <c r="AS10" s="56">
        <v>92886</v>
      </c>
      <c r="AT10" s="56">
        <v>128335</v>
      </c>
      <c r="AU10" s="56">
        <v>117703</v>
      </c>
      <c r="AV10" s="56">
        <v>52380</v>
      </c>
      <c r="AW10" s="99">
        <v>1254</v>
      </c>
      <c r="AX10" s="100">
        <f t="shared" si="4"/>
        <v>965263</v>
      </c>
      <c r="AZ10" s="2" t="s">
        <v>179</v>
      </c>
      <c r="BA10" s="89">
        <v>3114517</v>
      </c>
      <c r="BB10" s="89">
        <v>155467</v>
      </c>
      <c r="BC10" s="90">
        <v>1631653</v>
      </c>
      <c r="BD10" s="90">
        <v>2054718</v>
      </c>
      <c r="BE10" s="90">
        <v>1950305</v>
      </c>
      <c r="BF10" s="90">
        <v>5762213</v>
      </c>
      <c r="BG10" s="90">
        <v>783126</v>
      </c>
      <c r="BH10" s="128">
        <f t="shared" si="5"/>
        <v>15451999</v>
      </c>
      <c r="BK10" s="2" t="s">
        <v>179</v>
      </c>
      <c r="BL10" s="97">
        <v>8130</v>
      </c>
      <c r="BM10" s="97">
        <v>65168</v>
      </c>
      <c r="BN10" s="97">
        <v>542728</v>
      </c>
      <c r="BO10" s="97">
        <v>23360</v>
      </c>
      <c r="BP10" s="97">
        <v>58506</v>
      </c>
      <c r="BQ10" s="97">
        <v>128383</v>
      </c>
      <c r="BR10" s="97">
        <v>39950</v>
      </c>
      <c r="BS10" s="111">
        <f t="shared" si="6"/>
        <v>866225</v>
      </c>
      <c r="BT10" s="57"/>
      <c r="BU10" s="56" t="s">
        <v>179</v>
      </c>
      <c r="BV10" s="91">
        <v>13132306</v>
      </c>
      <c r="BW10" s="91">
        <v>1146075</v>
      </c>
      <c r="BX10" s="91">
        <v>6639337</v>
      </c>
      <c r="BY10" s="91">
        <v>5323682</v>
      </c>
      <c r="BZ10" s="91">
        <v>6973954</v>
      </c>
      <c r="CA10" s="91">
        <v>4288359</v>
      </c>
      <c r="CB10" s="91">
        <v>1672848</v>
      </c>
    </row>
    <row r="11" spans="1:80" ht="16" x14ac:dyDescent="0.2">
      <c r="A11" s="3"/>
      <c r="B11" s="3" t="s">
        <v>180</v>
      </c>
      <c r="C11" s="5">
        <v>272282</v>
      </c>
      <c r="D11" s="5">
        <v>2441788</v>
      </c>
      <c r="E11" s="5">
        <v>2782754</v>
      </c>
      <c r="F11" s="5">
        <v>2757300</v>
      </c>
      <c r="G11" s="5">
        <v>6398069</v>
      </c>
      <c r="H11" s="5">
        <v>1086817</v>
      </c>
      <c r="I11" s="30">
        <v>4141468</v>
      </c>
      <c r="J11" s="32">
        <f t="shared" si="0"/>
        <v>19880478</v>
      </c>
      <c r="K11" s="3"/>
      <c r="L11" s="58" t="s">
        <v>180</v>
      </c>
      <c r="M11" s="42">
        <v>2697403</v>
      </c>
      <c r="N11" s="40">
        <v>857463</v>
      </c>
      <c r="O11" s="41">
        <v>-1900643</v>
      </c>
      <c r="P11" s="42">
        <v>1636082</v>
      </c>
      <c r="Q11" s="43">
        <v>1730723</v>
      </c>
      <c r="R11" s="43">
        <v>1058143</v>
      </c>
      <c r="S11" s="43">
        <v>631049</v>
      </c>
      <c r="T11" s="51">
        <f t="shared" si="1"/>
        <v>6710220</v>
      </c>
      <c r="U11" s="3"/>
      <c r="V11" s="2" t="s">
        <v>180</v>
      </c>
      <c r="W11" s="15">
        <v>11.390499999999999</v>
      </c>
      <c r="X11" s="16">
        <v>-1.6856</v>
      </c>
      <c r="Y11" s="15">
        <v>1.925</v>
      </c>
      <c r="Z11" s="15">
        <v>1.84</v>
      </c>
      <c r="AA11" s="17">
        <v>2.7307999999999999</v>
      </c>
      <c r="AB11" s="17">
        <v>3.3382000000000001</v>
      </c>
      <c r="AC11" s="14">
        <v>1.3171999999999999</v>
      </c>
      <c r="AD11" s="23">
        <f t="shared" si="2"/>
        <v>2.9794428571428568</v>
      </c>
      <c r="AE11" s="3"/>
      <c r="AF11" s="2" t="s">
        <v>180</v>
      </c>
      <c r="AG11" s="14">
        <v>1.2125999999999999</v>
      </c>
      <c r="AH11" s="15">
        <v>3.5081000000000002</v>
      </c>
      <c r="AI11" s="21">
        <v>0.97699999999999998</v>
      </c>
      <c r="AJ11" s="15">
        <v>1.3427</v>
      </c>
      <c r="AK11" s="18">
        <v>1.91</v>
      </c>
      <c r="AL11" s="17">
        <v>1.8157000000000001</v>
      </c>
      <c r="AM11" s="17">
        <v>1.6432</v>
      </c>
      <c r="AN11" s="23">
        <f t="shared" si="3"/>
        <v>1.7472714285714284</v>
      </c>
      <c r="AO11" s="3"/>
      <c r="AP11" s="2" t="s">
        <v>180</v>
      </c>
      <c r="AQ11" s="56">
        <v>50866</v>
      </c>
      <c r="AR11" s="56">
        <v>528014</v>
      </c>
      <c r="AS11" s="56">
        <v>110924</v>
      </c>
      <c r="AT11" s="56">
        <v>149820</v>
      </c>
      <c r="AU11" s="56">
        <v>136799</v>
      </c>
      <c r="AV11" s="56">
        <v>102492</v>
      </c>
      <c r="AW11" s="99">
        <v>37951</v>
      </c>
      <c r="AX11" s="100">
        <f t="shared" si="4"/>
        <v>1116866</v>
      </c>
      <c r="AZ11" s="2" t="s">
        <v>180</v>
      </c>
      <c r="BA11" s="89">
        <v>3341385</v>
      </c>
      <c r="BB11" s="89">
        <v>178409</v>
      </c>
      <c r="BC11" s="90">
        <v>1991748</v>
      </c>
      <c r="BD11" s="90">
        <v>2368129</v>
      </c>
      <c r="BE11" s="90">
        <v>2125672</v>
      </c>
      <c r="BF11" s="90">
        <v>6055903</v>
      </c>
      <c r="BG11" s="90">
        <v>849721</v>
      </c>
      <c r="BH11" s="128">
        <f t="shared" si="5"/>
        <v>16910967</v>
      </c>
      <c r="BK11" s="2" t="s">
        <v>180</v>
      </c>
      <c r="BL11" s="97">
        <v>26514</v>
      </c>
      <c r="BM11" s="97">
        <v>76257</v>
      </c>
      <c r="BN11" s="97">
        <v>595432</v>
      </c>
      <c r="BO11" s="97">
        <v>16446</v>
      </c>
      <c r="BP11" s="97">
        <v>62230</v>
      </c>
      <c r="BQ11" s="97">
        <v>133630</v>
      </c>
      <c r="BR11" s="97">
        <v>54934</v>
      </c>
      <c r="BS11" s="111">
        <f t="shared" si="6"/>
        <v>965443</v>
      </c>
      <c r="BT11" s="57"/>
      <c r="BU11" s="56" t="s">
        <v>180</v>
      </c>
      <c r="BV11" s="91">
        <v>13046016</v>
      </c>
      <c r="BW11" s="91">
        <v>1164102</v>
      </c>
      <c r="BX11" s="91">
        <v>6564254</v>
      </c>
      <c r="BY11" s="91">
        <v>5445113</v>
      </c>
      <c r="BZ11" s="91">
        <v>6938801</v>
      </c>
      <c r="CA11" s="91">
        <v>3962296</v>
      </c>
      <c r="CB11" s="91">
        <v>1603631</v>
      </c>
    </row>
    <row r="12" spans="1:80" ht="16" x14ac:dyDescent="0.2">
      <c r="A12" s="3"/>
      <c r="B12" s="3" t="s">
        <v>181</v>
      </c>
      <c r="C12" s="2">
        <v>305083</v>
      </c>
      <c r="D12" s="2">
        <v>2812338</v>
      </c>
      <c r="E12" s="2">
        <v>3099134</v>
      </c>
      <c r="F12" s="2">
        <v>2900222</v>
      </c>
      <c r="G12" s="2">
        <v>6783843</v>
      </c>
      <c r="H12" s="2">
        <v>1407070</v>
      </c>
      <c r="I12" s="31">
        <v>4565592</v>
      </c>
      <c r="J12" s="32">
        <f t="shared" si="0"/>
        <v>21873282</v>
      </c>
      <c r="K12" s="3"/>
      <c r="L12" s="58" t="s">
        <v>181</v>
      </c>
      <c r="M12" s="40">
        <v>2756231</v>
      </c>
      <c r="N12" s="40">
        <v>877884</v>
      </c>
      <c r="O12" s="40">
        <v>-1962336</v>
      </c>
      <c r="P12" s="40">
        <v>1669562</v>
      </c>
      <c r="Q12" s="43">
        <v>1736488</v>
      </c>
      <c r="R12" s="40">
        <v>1081415</v>
      </c>
      <c r="S12" s="40">
        <v>633515</v>
      </c>
      <c r="T12" s="51">
        <f t="shared" si="1"/>
        <v>6792759</v>
      </c>
      <c r="U12" s="3"/>
      <c r="V12" s="2" t="s">
        <v>181</v>
      </c>
      <c r="W12" s="15">
        <v>11.488099999999999</v>
      </c>
      <c r="X12" s="15">
        <v>-1.5552999999999999</v>
      </c>
      <c r="Y12" s="15">
        <v>1.7642</v>
      </c>
      <c r="Z12" s="15">
        <v>1.89</v>
      </c>
      <c r="AA12" s="15">
        <v>2.8624000000000001</v>
      </c>
      <c r="AB12" s="15">
        <v>3.5491999999999999</v>
      </c>
      <c r="AC12" s="15">
        <v>1.3774999999999999</v>
      </c>
      <c r="AD12" s="23">
        <f t="shared" si="2"/>
        <v>3.0537285714285716</v>
      </c>
      <c r="AE12" s="3"/>
      <c r="AF12" s="2" t="s">
        <v>181</v>
      </c>
      <c r="AG12" s="15">
        <v>1.2175</v>
      </c>
      <c r="AH12" s="15">
        <v>3.524</v>
      </c>
      <c r="AI12" s="19">
        <v>0.95599999999999996</v>
      </c>
      <c r="AJ12" s="15">
        <v>1.2970999999999999</v>
      </c>
      <c r="AK12" s="18">
        <v>1.95</v>
      </c>
      <c r="AL12" s="15">
        <v>1.8619000000000001</v>
      </c>
      <c r="AM12" s="15">
        <v>1.4459</v>
      </c>
      <c r="AN12" s="23">
        <f t="shared" si="3"/>
        <v>1.7727571428571429</v>
      </c>
      <c r="AO12" s="3"/>
      <c r="AP12" s="2" t="s">
        <v>181</v>
      </c>
      <c r="AQ12" s="56">
        <v>64497</v>
      </c>
      <c r="AR12" s="56">
        <v>454384</v>
      </c>
      <c r="AS12" s="56">
        <v>106282</v>
      </c>
      <c r="AT12" s="56">
        <v>147234</v>
      </c>
      <c r="AU12" s="56">
        <v>155377</v>
      </c>
      <c r="AV12" s="56">
        <v>55659</v>
      </c>
      <c r="AW12" s="99">
        <v>41554</v>
      </c>
      <c r="AX12" s="100">
        <f t="shared" si="4"/>
        <v>1024987</v>
      </c>
      <c r="AZ12" s="2" t="s">
        <v>181</v>
      </c>
      <c r="BA12" s="89">
        <v>3689724</v>
      </c>
      <c r="BB12" s="89">
        <v>199775</v>
      </c>
      <c r="BC12" s="90">
        <v>2304099</v>
      </c>
      <c r="BD12" s="90">
        <v>2639419</v>
      </c>
      <c r="BE12" s="90">
        <v>2223647</v>
      </c>
      <c r="BF12" s="90">
        <v>6410287</v>
      </c>
      <c r="BG12" s="90">
        <v>871820</v>
      </c>
      <c r="BH12" s="128">
        <f t="shared" si="5"/>
        <v>18338771</v>
      </c>
      <c r="BK12" s="2" t="s">
        <v>181</v>
      </c>
      <c r="BL12" s="97">
        <v>38126</v>
      </c>
      <c r="BM12" s="97">
        <v>95167</v>
      </c>
      <c r="BN12" s="97">
        <v>511900</v>
      </c>
      <c r="BO12" s="97">
        <v>-2858</v>
      </c>
      <c r="BP12" s="97">
        <v>45099</v>
      </c>
      <c r="BQ12" s="97">
        <v>148506</v>
      </c>
      <c r="BR12" s="97">
        <v>51737</v>
      </c>
      <c r="BS12" s="111">
        <f t="shared" si="6"/>
        <v>887677</v>
      </c>
      <c r="BT12" s="57"/>
      <c r="BU12" s="56" t="s">
        <v>181</v>
      </c>
      <c r="BV12" s="91">
        <v>13129470</v>
      </c>
      <c r="BW12" s="91">
        <v>1189557</v>
      </c>
      <c r="BX12" s="91">
        <v>6583622</v>
      </c>
      <c r="BY12" s="91">
        <v>5570916</v>
      </c>
      <c r="BZ12" s="91">
        <v>6880409</v>
      </c>
      <c r="CA12" s="91">
        <v>3982942</v>
      </c>
      <c r="CB12" s="91">
        <v>1884291</v>
      </c>
    </row>
    <row r="13" spans="1:80" ht="16" x14ac:dyDescent="0.2">
      <c r="A13" s="3"/>
      <c r="B13" s="75" t="s">
        <v>182</v>
      </c>
      <c r="C13" s="70">
        <v>341936</v>
      </c>
      <c r="D13" s="70">
        <v>2837655</v>
      </c>
      <c r="E13" s="70">
        <v>3357098</v>
      </c>
      <c r="F13" s="70">
        <v>3197938</v>
      </c>
      <c r="G13" s="70">
        <v>7036611</v>
      </c>
      <c r="H13" s="70">
        <v>1265183</v>
      </c>
      <c r="I13" s="76">
        <v>5081860</v>
      </c>
      <c r="J13" s="32">
        <f t="shared" si="0"/>
        <v>23118281</v>
      </c>
      <c r="K13" s="3"/>
      <c r="L13" s="80" t="s">
        <v>182</v>
      </c>
      <c r="M13" s="73">
        <v>2714506</v>
      </c>
      <c r="N13" s="73">
        <v>880138</v>
      </c>
      <c r="O13" s="73">
        <v>-2331410</v>
      </c>
      <c r="P13" s="73">
        <v>1524265</v>
      </c>
      <c r="Q13" s="73">
        <v>1737505</v>
      </c>
      <c r="R13" s="73">
        <v>1088566</v>
      </c>
      <c r="S13" s="73">
        <v>636965</v>
      </c>
      <c r="T13" s="51">
        <f t="shared" si="1"/>
        <v>6250535</v>
      </c>
      <c r="U13" s="3"/>
      <c r="V13" s="70" t="s">
        <v>182</v>
      </c>
      <c r="W13" s="71">
        <v>11.522</v>
      </c>
      <c r="X13" s="15">
        <v>-1.7715000000000001</v>
      </c>
      <c r="Y13" s="15">
        <v>1.6369</v>
      </c>
      <c r="Z13" s="15">
        <v>2.0099999999999998</v>
      </c>
      <c r="AA13" s="15">
        <v>3.1575000000000002</v>
      </c>
      <c r="AB13" s="15">
        <v>3.3433000000000002</v>
      </c>
      <c r="AC13" s="15">
        <v>1.335</v>
      </c>
      <c r="AD13" s="23">
        <f t="shared" si="2"/>
        <v>3.0333142857142859</v>
      </c>
      <c r="AE13" s="3"/>
      <c r="AF13" s="2" t="s">
        <v>182</v>
      </c>
      <c r="AG13" s="15">
        <v>1.2152000000000001</v>
      </c>
      <c r="AH13" s="15">
        <v>3.4597000000000002</v>
      </c>
      <c r="AI13" s="19">
        <v>0.68700000000000006</v>
      </c>
      <c r="AJ13" s="15">
        <v>1.2939000000000001</v>
      </c>
      <c r="AK13" s="18">
        <v>1.96</v>
      </c>
      <c r="AL13" s="15">
        <v>1.8198000000000001</v>
      </c>
      <c r="AM13" s="15">
        <v>1.3996</v>
      </c>
      <c r="AN13" s="23">
        <f t="shared" si="3"/>
        <v>1.7503428571428572</v>
      </c>
      <c r="AO13" s="75"/>
      <c r="AP13" s="70" t="s">
        <v>182</v>
      </c>
      <c r="AQ13" s="77">
        <v>71238</v>
      </c>
      <c r="AR13" s="77">
        <v>95321</v>
      </c>
      <c r="AS13" s="77">
        <v>2026</v>
      </c>
      <c r="AT13" s="77">
        <v>163027</v>
      </c>
      <c r="AU13" s="77">
        <v>164036</v>
      </c>
      <c r="AV13" s="77">
        <v>63723</v>
      </c>
      <c r="AW13" s="101">
        <v>25412</v>
      </c>
      <c r="AX13" s="100">
        <f t="shared" si="4"/>
        <v>584783</v>
      </c>
      <c r="AZ13" s="2" t="s">
        <v>182</v>
      </c>
      <c r="BA13" s="89">
        <v>4105823</v>
      </c>
      <c r="BB13" s="89">
        <v>223834</v>
      </c>
      <c r="BC13" s="90">
        <v>2317521</v>
      </c>
      <c r="BD13" s="90">
        <v>2865706</v>
      </c>
      <c r="BE13" s="90">
        <v>2435739</v>
      </c>
      <c r="BF13" s="90">
        <v>6604771</v>
      </c>
      <c r="BG13" s="90">
        <v>969891</v>
      </c>
      <c r="BH13" s="128">
        <f t="shared" si="5"/>
        <v>19523285</v>
      </c>
      <c r="BK13" s="2" t="s">
        <v>182</v>
      </c>
      <c r="BL13" s="97">
        <v>15667</v>
      </c>
      <c r="BM13" s="97">
        <v>107484</v>
      </c>
      <c r="BN13" s="97">
        <v>114045</v>
      </c>
      <c r="BO13" s="97">
        <v>-102340</v>
      </c>
      <c r="BP13" s="97">
        <v>75521</v>
      </c>
      <c r="BQ13" s="97">
        <v>162028</v>
      </c>
      <c r="BR13" s="97">
        <v>60310</v>
      </c>
      <c r="BS13" s="111">
        <f t="shared" si="6"/>
        <v>432715</v>
      </c>
      <c r="BT13" s="57"/>
      <c r="BU13" s="56" t="s">
        <v>182</v>
      </c>
      <c r="BV13" s="91">
        <v>13023476</v>
      </c>
      <c r="BW13" s="91">
        <v>1196933</v>
      </c>
      <c r="BX13" s="91">
        <v>6183130</v>
      </c>
      <c r="BY13" s="91">
        <v>5543036</v>
      </c>
      <c r="BZ13" s="91">
        <v>6854988</v>
      </c>
      <c r="CA13" s="91">
        <v>4076647</v>
      </c>
      <c r="CB13" s="91">
        <v>2003971</v>
      </c>
    </row>
    <row r="14" spans="1:80" ht="16" x14ac:dyDescent="0.2">
      <c r="A14" s="75"/>
      <c r="B14" s="64" t="s">
        <v>183</v>
      </c>
      <c r="C14" s="74">
        <v>372180</v>
      </c>
      <c r="D14" s="74">
        <v>3417995</v>
      </c>
      <c r="E14" s="74">
        <v>3597896</v>
      </c>
      <c r="F14" s="74">
        <v>3509043</v>
      </c>
      <c r="G14" s="74">
        <v>7369562</v>
      </c>
      <c r="H14" s="74">
        <v>1327809</v>
      </c>
      <c r="I14" s="78">
        <v>5655179</v>
      </c>
      <c r="J14" s="32">
        <f>SUM(C14:I14)</f>
        <v>25249664</v>
      </c>
      <c r="K14" s="72"/>
      <c r="L14" s="81" t="s">
        <v>183</v>
      </c>
      <c r="M14" s="79">
        <v>2812589</v>
      </c>
      <c r="N14" s="79">
        <v>877931</v>
      </c>
      <c r="O14" s="79">
        <v>-2067225</v>
      </c>
      <c r="P14" s="79">
        <v>1596029</v>
      </c>
      <c r="Q14" s="79">
        <v>1753235</v>
      </c>
      <c r="R14" s="79">
        <v>1087920</v>
      </c>
      <c r="S14" s="79">
        <v>904952</v>
      </c>
      <c r="T14" s="51">
        <f t="shared" si="1"/>
        <v>6965431</v>
      </c>
      <c r="U14" s="68"/>
      <c r="V14" s="65" t="s">
        <v>183</v>
      </c>
      <c r="W14" s="69">
        <v>11.837400000000001</v>
      </c>
      <c r="X14" s="66">
        <v>1.7060999999999999</v>
      </c>
      <c r="Y14" s="66">
        <v>1.2101</v>
      </c>
      <c r="Z14" s="66">
        <v>2</v>
      </c>
      <c r="AA14" s="66">
        <v>3.1551999999999998</v>
      </c>
      <c r="AB14" s="66">
        <v>5.1660000000000004</v>
      </c>
      <c r="AC14" s="66">
        <v>1.407</v>
      </c>
      <c r="AD14" s="23">
        <f>AVERAGE(W14:AC14)</f>
        <v>3.7831142857142859</v>
      </c>
      <c r="AE14" s="3"/>
      <c r="AF14" s="74" t="s">
        <v>183</v>
      </c>
      <c r="AG14" s="66">
        <v>1.2126999999999999</v>
      </c>
      <c r="AH14" s="66">
        <v>3.4691000000000001</v>
      </c>
      <c r="AI14" s="66">
        <v>0.90400000000000003</v>
      </c>
      <c r="AJ14" s="66">
        <v>1.3038000000000001</v>
      </c>
      <c r="AK14" s="67">
        <v>1.94</v>
      </c>
      <c r="AL14" s="66">
        <v>1.8540000000000001</v>
      </c>
      <c r="AM14" s="66">
        <v>1.7727999999999999</v>
      </c>
      <c r="AN14" s="23">
        <f>AVERAGE(AG14:AM14)</f>
        <v>1.7794857142857141</v>
      </c>
      <c r="AO14" s="64"/>
      <c r="AP14" s="65" t="s">
        <v>183</v>
      </c>
      <c r="AQ14" s="78">
        <v>65019</v>
      </c>
      <c r="AR14" s="78">
        <v>354543</v>
      </c>
      <c r="AS14" s="78">
        <v>35222</v>
      </c>
      <c r="AT14" s="78">
        <v>172151</v>
      </c>
      <c r="AU14" s="78">
        <v>161597</v>
      </c>
      <c r="AV14" s="78">
        <v>55006</v>
      </c>
      <c r="AW14" s="102">
        <v>52892</v>
      </c>
      <c r="AX14" s="100">
        <f t="shared" si="4"/>
        <v>896430</v>
      </c>
      <c r="AZ14" s="2" t="s">
        <v>183</v>
      </c>
      <c r="BA14" s="89">
        <v>4571002</v>
      </c>
      <c r="BB14" s="89">
        <v>243479</v>
      </c>
      <c r="BC14" s="90">
        <v>2683772</v>
      </c>
      <c r="BD14" s="90">
        <v>3078055</v>
      </c>
      <c r="BE14" s="90">
        <v>2675727</v>
      </c>
      <c r="BF14" s="90">
        <v>6867779</v>
      </c>
      <c r="BG14" s="90">
        <v>1014230</v>
      </c>
      <c r="BH14" s="128">
        <f t="shared" si="5"/>
        <v>21134044</v>
      </c>
      <c r="BK14" s="2" t="s">
        <v>183</v>
      </c>
      <c r="BL14" s="97">
        <v>5320</v>
      </c>
      <c r="BM14" s="97">
        <v>99587</v>
      </c>
      <c r="BN14" s="97">
        <v>427213</v>
      </c>
      <c r="BO14" s="97">
        <v>-54285</v>
      </c>
      <c r="BP14" s="97">
        <v>91482</v>
      </c>
      <c r="BQ14" s="97">
        <v>124206</v>
      </c>
      <c r="BR14" s="97">
        <v>60033</v>
      </c>
      <c r="BS14" s="111">
        <f t="shared" si="6"/>
        <v>753556</v>
      </c>
      <c r="BT14" s="57"/>
      <c r="BU14" s="56" t="s">
        <v>183</v>
      </c>
      <c r="BV14" s="91">
        <v>13055980</v>
      </c>
      <c r="BW14" s="91">
        <v>1187733</v>
      </c>
      <c r="BX14" s="91">
        <v>6377926</v>
      </c>
      <c r="BY14" s="91">
        <v>5600680</v>
      </c>
      <c r="BZ14" s="91">
        <v>6884457</v>
      </c>
      <c r="CA14" s="91">
        <v>3650654</v>
      </c>
      <c r="CB14" s="91">
        <v>2030304</v>
      </c>
    </row>
    <row r="15" spans="1:80" ht="16" x14ac:dyDescent="0.2">
      <c r="A15" s="64"/>
      <c r="J15" s="32"/>
      <c r="K15" s="7"/>
      <c r="M15" s="51">
        <f>SUM(M3:M14)</f>
        <v>31379932</v>
      </c>
      <c r="T15" s="51">
        <f>SUM(T3:T14)</f>
        <v>77969214</v>
      </c>
      <c r="V15" s="8" t="s">
        <v>184</v>
      </c>
      <c r="W15" s="23">
        <f>AVERAGE(W3:W14)</f>
        <v>11.662875</v>
      </c>
      <c r="X15" s="23">
        <f t="shared" ref="X15" si="7">AVERAGE(X3:X13)</f>
        <v>-1.3507545454545451</v>
      </c>
      <c r="Y15" s="23">
        <f>AVERAGE(Y3:Y14)</f>
        <v>1.9615499999999999</v>
      </c>
      <c r="Z15" s="23">
        <f>AVERAGE(Z3:Z14)</f>
        <v>1.8250000000000004</v>
      </c>
      <c r="AA15" s="23">
        <f>AVERAGE(AA3:AA14)</f>
        <v>2.8598999999999997</v>
      </c>
      <c r="AB15" s="23">
        <f>AVERAGE(AB3:AB14)</f>
        <v>3.0746000000000002</v>
      </c>
      <c r="AC15" s="23">
        <f>AVERAGE(AC3:AC14)</f>
        <v>1.3433583333333334</v>
      </c>
      <c r="AE15" s="7"/>
      <c r="AG15" s="23"/>
      <c r="AH15" s="23"/>
      <c r="AI15" s="23"/>
      <c r="AJ15" s="23"/>
      <c r="AK15" s="49"/>
      <c r="AL15" s="23"/>
      <c r="AM15" s="23"/>
      <c r="AN15" s="23"/>
      <c r="AP15" s="22" t="s">
        <v>185</v>
      </c>
      <c r="AQ15" s="57">
        <f t="shared" ref="AQ15:AV15" si="8">SUM(AQ3:AQ13)</f>
        <v>342589</v>
      </c>
      <c r="AR15" s="57">
        <f t="shared" si="8"/>
        <v>3452470</v>
      </c>
      <c r="AS15" s="57">
        <f t="shared" si="8"/>
        <v>778989</v>
      </c>
      <c r="AT15" s="57">
        <f t="shared" si="8"/>
        <v>1109508</v>
      </c>
      <c r="AU15" s="57">
        <f t="shared" si="8"/>
        <v>939966</v>
      </c>
      <c r="AV15" s="57">
        <f t="shared" si="8"/>
        <v>401325</v>
      </c>
      <c r="AW15" s="57">
        <f>SUM(AW3:AW13)</f>
        <v>12971</v>
      </c>
      <c r="AZ15" s="22" t="s">
        <v>185</v>
      </c>
      <c r="BA15" s="8"/>
      <c r="BK15" s="22" t="s">
        <v>185</v>
      </c>
      <c r="BL15" s="92"/>
      <c r="BM15" s="92"/>
      <c r="BN15" s="92"/>
      <c r="BO15" s="92"/>
      <c r="BP15" s="92"/>
      <c r="BQ15" s="92"/>
      <c r="BR15" s="92"/>
      <c r="BS15" s="57"/>
      <c r="BT15" s="57"/>
      <c r="BU15" s="88" t="s">
        <v>185</v>
      </c>
      <c r="BV15" s="57"/>
      <c r="BW15" s="57"/>
      <c r="BX15" s="57"/>
      <c r="BY15" s="57"/>
      <c r="BZ15" s="57"/>
      <c r="CA15" s="57"/>
      <c r="CB15" s="57"/>
    </row>
    <row r="16" spans="1:80" ht="16" x14ac:dyDescent="0.2">
      <c r="L16" s="8"/>
      <c r="W16" s="23">
        <f>AVERAGE(W15:AC15)</f>
        <v>3.0537898268398265</v>
      </c>
      <c r="AB16" s="23">
        <v>3.0682999999999998</v>
      </c>
      <c r="AC16" s="23">
        <f>AB16-W16</f>
        <v>1.4510173160173334E-2</v>
      </c>
      <c r="AF16" s="22" t="s">
        <v>184</v>
      </c>
      <c r="AG16" s="23">
        <f>AVERAGE(AG3:AG14)</f>
        <v>1.2362666666666666</v>
      </c>
      <c r="AH16" s="23">
        <f t="shared" ref="AH16:AM16" si="9">AVERAGE(AH3:AH14)</f>
        <v>3.5232249999999996</v>
      </c>
      <c r="AI16" s="23">
        <f t="shared" si="9"/>
        <v>0.96466666666666656</v>
      </c>
      <c r="AJ16" s="23">
        <f t="shared" si="9"/>
        <v>1.3265000000000002</v>
      </c>
      <c r="AK16" s="23">
        <f t="shared" si="9"/>
        <v>1.9466666666666665</v>
      </c>
      <c r="AL16" s="23">
        <f t="shared" si="9"/>
        <v>1.6960166666666667</v>
      </c>
      <c r="AM16" s="23">
        <f t="shared" si="9"/>
        <v>1.5018000000000002</v>
      </c>
      <c r="AN16" s="23">
        <f>AVERAGE(AG16:AM16)</f>
        <v>1.7421630952380955</v>
      </c>
    </row>
    <row r="17" spans="1:41" ht="16" x14ac:dyDescent="0.2">
      <c r="K17" s="172"/>
      <c r="L17" s="172"/>
      <c r="M17" s="172"/>
      <c r="N17" s="172"/>
      <c r="O17" s="172"/>
      <c r="P17" s="172"/>
      <c r="Q17" s="172"/>
      <c r="R17" s="172"/>
      <c r="S17" s="172"/>
      <c r="AC17" s="23">
        <f>AC12-AC13</f>
        <v>4.2499999999999982E-2</v>
      </c>
      <c r="AD17" s="23">
        <f>AC14-AC13</f>
        <v>7.2000000000000064E-2</v>
      </c>
      <c r="AF17" s="22" t="s">
        <v>186</v>
      </c>
      <c r="AG17" s="23">
        <f>AVERAGE(AG3:AM14)</f>
        <v>1.7421630952380953</v>
      </c>
      <c r="AN17" s="48">
        <f>SUM(AG14:AJ14)+SUM(AL14:AM14)</f>
        <v>10.516400000000001</v>
      </c>
      <c r="AO17" s="6">
        <f>AN17/6</f>
        <v>1.7527333333333335</v>
      </c>
    </row>
    <row r="18" spans="1:41" x14ac:dyDescent="0.2">
      <c r="K18" s="7"/>
      <c r="L18" s="8"/>
      <c r="M18" s="8"/>
      <c r="N18" s="8"/>
      <c r="O18" s="8"/>
      <c r="P18" s="8"/>
      <c r="Q18" s="8"/>
      <c r="R18" s="8"/>
      <c r="S18" s="8"/>
    </row>
    <row r="19" spans="1:41" x14ac:dyDescent="0.2">
      <c r="K19" s="7"/>
      <c r="L19" s="8"/>
      <c r="M19" s="8"/>
      <c r="N19" s="8"/>
      <c r="O19" s="8"/>
      <c r="P19" s="8"/>
      <c r="Q19" s="8"/>
      <c r="R19" s="8"/>
      <c r="S19" s="8"/>
    </row>
    <row r="20" spans="1:41" x14ac:dyDescent="0.2">
      <c r="K20" s="7"/>
      <c r="L20" s="8"/>
      <c r="M20" s="9"/>
      <c r="N20" s="10"/>
      <c r="O20" s="11"/>
      <c r="P20" s="12"/>
      <c r="Q20" s="12"/>
      <c r="R20" s="12"/>
      <c r="S20" s="11"/>
    </row>
    <row r="21" spans="1:41" x14ac:dyDescent="0.2">
      <c r="K21" s="7"/>
      <c r="L21" s="8"/>
      <c r="M21" s="8"/>
      <c r="N21" s="10"/>
      <c r="O21" s="11"/>
      <c r="P21" s="12"/>
      <c r="Q21" s="12"/>
      <c r="R21" s="12"/>
      <c r="S21" s="11"/>
    </row>
    <row r="22" spans="1:41" x14ac:dyDescent="0.2">
      <c r="K22" s="7"/>
      <c r="L22" s="8"/>
      <c r="M22" s="8"/>
      <c r="N22" s="10"/>
      <c r="O22" s="11"/>
      <c r="P22" s="12"/>
      <c r="Q22" s="12"/>
      <c r="R22" s="12"/>
      <c r="S22" s="11"/>
    </row>
    <row r="23" spans="1:41" x14ac:dyDescent="0.2">
      <c r="K23" s="7"/>
      <c r="L23" s="8"/>
      <c r="M23" s="8"/>
      <c r="N23" s="10"/>
      <c r="O23" s="11"/>
      <c r="P23" s="12"/>
      <c r="Q23" s="12"/>
      <c r="R23" s="12"/>
      <c r="S23" s="11"/>
    </row>
    <row r="24" spans="1:41" x14ac:dyDescent="0.2">
      <c r="K24" s="7"/>
      <c r="L24" s="8"/>
      <c r="M24" s="8"/>
      <c r="N24" s="10"/>
      <c r="O24" s="11"/>
      <c r="P24" s="12"/>
      <c r="Q24" s="12"/>
      <c r="R24" s="12"/>
      <c r="S24" s="11"/>
    </row>
    <row r="25" spans="1:41" x14ac:dyDescent="0.2">
      <c r="K25" s="7"/>
      <c r="L25" s="8"/>
      <c r="M25" s="8"/>
      <c r="N25" s="10"/>
      <c r="O25" s="11"/>
      <c r="P25" s="12"/>
      <c r="Q25" s="12"/>
      <c r="R25" s="12"/>
      <c r="S25" s="11"/>
    </row>
    <row r="26" spans="1:41" x14ac:dyDescent="0.2">
      <c r="K26" s="7"/>
      <c r="L26" s="8"/>
      <c r="M26" s="8"/>
      <c r="N26" s="10"/>
      <c r="O26" s="13"/>
      <c r="P26" s="12"/>
      <c r="Q26" s="12"/>
      <c r="R26" s="12"/>
      <c r="S26" s="11"/>
    </row>
    <row r="27" spans="1:41" x14ac:dyDescent="0.2">
      <c r="K27" s="7"/>
      <c r="L27" s="8"/>
      <c r="M27" s="8"/>
      <c r="N27" s="10"/>
      <c r="O27" s="11"/>
      <c r="P27" s="12"/>
      <c r="Q27" s="12"/>
      <c r="R27" s="12"/>
      <c r="S27" s="11"/>
    </row>
    <row r="28" spans="1:41" x14ac:dyDescent="0.2">
      <c r="K28" s="7"/>
      <c r="L28" s="8"/>
      <c r="M28" s="8"/>
      <c r="N28" s="10"/>
      <c r="O28" s="11"/>
      <c r="P28" s="12"/>
      <c r="Q28" s="12"/>
      <c r="R28" s="12"/>
      <c r="S28" s="11"/>
    </row>
    <row r="29" spans="1:41" x14ac:dyDescent="0.2">
      <c r="K29" s="7"/>
      <c r="L29" s="8"/>
      <c r="M29" s="8"/>
      <c r="N29" s="8"/>
      <c r="O29" s="8"/>
      <c r="P29" s="12"/>
      <c r="Q29" s="8"/>
      <c r="R29" s="8"/>
      <c r="S29" s="8"/>
    </row>
    <row r="30" spans="1:41" x14ac:dyDescent="0.2">
      <c r="K30" s="7"/>
      <c r="L30" s="8"/>
      <c r="M30" s="8"/>
      <c r="N30" s="8"/>
      <c r="O30" s="8"/>
      <c r="P30" s="8"/>
      <c r="Q30" s="8"/>
      <c r="R30" s="8"/>
      <c r="S30" s="8"/>
    </row>
    <row r="32" spans="1:41" x14ac:dyDescent="0.2">
      <c r="A32" s="171" t="s">
        <v>153</v>
      </c>
      <c r="B32" s="171"/>
      <c r="C32" s="171"/>
      <c r="D32" s="171"/>
      <c r="E32" s="171"/>
      <c r="F32" s="171"/>
      <c r="G32" s="171"/>
      <c r="H32" s="171"/>
      <c r="I32" s="171"/>
      <c r="K32"/>
      <c r="L32" t="s">
        <v>187</v>
      </c>
    </row>
    <row r="33" spans="1:60" ht="14.5" customHeight="1" x14ac:dyDescent="0.2">
      <c r="A33" s="2" t="s">
        <v>188</v>
      </c>
      <c r="B33" s="3"/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165</v>
      </c>
      <c r="H33" s="2" t="s">
        <v>166</v>
      </c>
      <c r="I33" s="2" t="s">
        <v>189</v>
      </c>
      <c r="K33"/>
      <c r="L33" s="2" t="s">
        <v>161</v>
      </c>
      <c r="M33" s="2" t="s">
        <v>162</v>
      </c>
      <c r="N33" s="2" t="s">
        <v>163</v>
      </c>
      <c r="O33" s="2" t="s">
        <v>164</v>
      </c>
      <c r="P33" s="2" t="s">
        <v>165</v>
      </c>
      <c r="Q33" s="2" t="s">
        <v>166</v>
      </c>
      <c r="R33" s="2" t="s">
        <v>189</v>
      </c>
      <c r="AZ33" s="173"/>
      <c r="BA33" s="174"/>
      <c r="BB33" s="174"/>
      <c r="BC33" s="174"/>
      <c r="BD33" s="174"/>
      <c r="BE33" s="174"/>
      <c r="BF33" s="174"/>
      <c r="BG33" s="175"/>
      <c r="BH33" s="2"/>
    </row>
    <row r="34" spans="1:60" ht="48" x14ac:dyDescent="0.2">
      <c r="A34" s="3"/>
      <c r="B34" s="3"/>
      <c r="C34" s="2"/>
      <c r="D34" s="2"/>
      <c r="E34" s="2"/>
      <c r="F34" s="2"/>
      <c r="G34" s="2"/>
      <c r="H34" s="2"/>
      <c r="I34" s="2"/>
      <c r="K34" s="4" t="s">
        <v>173</v>
      </c>
      <c r="L34" s="26">
        <v>12.61</v>
      </c>
      <c r="M34" s="24">
        <v>1.6211</v>
      </c>
      <c r="N34" s="24">
        <v>2.2422</v>
      </c>
      <c r="O34" s="24">
        <v>0.4239</v>
      </c>
      <c r="P34" s="24">
        <v>0.51100000000000001</v>
      </c>
      <c r="Q34" s="24">
        <v>1.0742</v>
      </c>
      <c r="R34" s="24">
        <v>1.2886</v>
      </c>
      <c r="AZ34" s="3"/>
      <c r="BA34" s="2" t="s">
        <v>190</v>
      </c>
      <c r="BB34" s="2" t="s">
        <v>191</v>
      </c>
      <c r="BC34" s="2" t="s">
        <v>192</v>
      </c>
      <c r="BD34" s="2" t="s">
        <v>193</v>
      </c>
      <c r="BE34" s="2" t="s">
        <v>194</v>
      </c>
      <c r="BF34" s="2" t="s">
        <v>195</v>
      </c>
      <c r="BG34" s="2" t="s">
        <v>196</v>
      </c>
      <c r="BH34" s="22" t="s">
        <v>197</v>
      </c>
    </row>
    <row r="35" spans="1:60" ht="16" x14ac:dyDescent="0.2">
      <c r="A35" s="3">
        <v>1</v>
      </c>
      <c r="B35" s="4" t="s">
        <v>172</v>
      </c>
      <c r="C35" s="95">
        <v>2231</v>
      </c>
      <c r="D35" s="95">
        <v>410915</v>
      </c>
      <c r="E35" s="95">
        <v>143190</v>
      </c>
      <c r="F35" s="95">
        <v>438402</v>
      </c>
      <c r="G35" s="95">
        <v>1113064</v>
      </c>
      <c r="H35" s="95">
        <v>85797</v>
      </c>
      <c r="I35" s="95">
        <v>451716</v>
      </c>
      <c r="K35" s="3" t="s">
        <v>174</v>
      </c>
      <c r="L35" s="24">
        <v>1.1718</v>
      </c>
      <c r="M35" s="24">
        <v>0.12759999999999999</v>
      </c>
      <c r="N35" s="25">
        <v>0.77500000000000002</v>
      </c>
      <c r="O35" s="24">
        <v>0.69030000000000002</v>
      </c>
      <c r="P35" s="24">
        <v>0.32329999999999998</v>
      </c>
      <c r="Q35" s="24">
        <v>0.44840000000000002</v>
      </c>
      <c r="R35" s="24">
        <v>0.44929999999999998</v>
      </c>
      <c r="AZ35" s="4" t="s">
        <v>172</v>
      </c>
      <c r="BA35" s="105">
        <v>451716</v>
      </c>
      <c r="BB35" s="106">
        <v>389558</v>
      </c>
      <c r="BC35" s="99">
        <v>15045</v>
      </c>
      <c r="BD35" s="97">
        <v>1594</v>
      </c>
      <c r="BE35" s="109">
        <v>2645315</v>
      </c>
      <c r="BF35" s="104">
        <f>SUM(AY35:BE35)</f>
        <v>3503228</v>
      </c>
      <c r="BG35" s="105">
        <v>275304</v>
      </c>
      <c r="BH35" s="110">
        <v>273673</v>
      </c>
    </row>
    <row r="36" spans="1:60" ht="16" x14ac:dyDescent="0.2">
      <c r="A36" s="3">
        <v>2</v>
      </c>
      <c r="B36" s="4" t="s">
        <v>173</v>
      </c>
      <c r="C36" s="95">
        <v>30364</v>
      </c>
      <c r="D36" s="95">
        <v>1077069</v>
      </c>
      <c r="E36" s="95">
        <v>464246</v>
      </c>
      <c r="F36" s="95">
        <v>624256</v>
      </c>
      <c r="G36" s="95">
        <v>1681787</v>
      </c>
      <c r="H36" s="95">
        <v>177957</v>
      </c>
      <c r="I36" s="95">
        <v>1033818</v>
      </c>
      <c r="K36" s="3" t="s">
        <v>175</v>
      </c>
      <c r="L36" s="24">
        <v>0.51900000000000002</v>
      </c>
      <c r="M36" s="24">
        <v>2.5999999999999999E-2</v>
      </c>
      <c r="N36" s="24">
        <v>0.32929999999999998</v>
      </c>
      <c r="O36" s="24">
        <v>0.19670000000000001</v>
      </c>
      <c r="P36" s="24">
        <v>1.0297000000000001</v>
      </c>
      <c r="Q36" s="24">
        <v>0.33539999999999998</v>
      </c>
      <c r="R36" s="24">
        <v>0.25069999999999998</v>
      </c>
      <c r="AZ36" s="4" t="s">
        <v>173</v>
      </c>
      <c r="BA36" s="105">
        <v>1033818</v>
      </c>
      <c r="BB36" s="106">
        <v>868545</v>
      </c>
      <c r="BC36" s="99">
        <v>-37553</v>
      </c>
      <c r="BD36" s="97">
        <v>-52424</v>
      </c>
      <c r="BE36" s="109">
        <v>5089497</v>
      </c>
      <c r="BF36" s="104">
        <f t="shared" ref="BF36:BF46" si="10">SUM(AY36:BE36)</f>
        <v>6901883</v>
      </c>
      <c r="BG36" s="105">
        <v>267620</v>
      </c>
      <c r="BH36" s="110">
        <v>287185</v>
      </c>
    </row>
    <row r="37" spans="1:60" ht="16" x14ac:dyDescent="0.2">
      <c r="A37" s="3">
        <v>3</v>
      </c>
      <c r="B37" s="3" t="s">
        <v>174</v>
      </c>
      <c r="C37" s="95">
        <v>65945</v>
      </c>
      <c r="D37" s="95">
        <v>1214480</v>
      </c>
      <c r="E37" s="95">
        <v>824044</v>
      </c>
      <c r="F37" s="95">
        <v>1055207</v>
      </c>
      <c r="G37" s="95">
        <v>2225449</v>
      </c>
      <c r="H37" s="95">
        <v>257758</v>
      </c>
      <c r="I37" s="95">
        <v>1498329</v>
      </c>
      <c r="K37" s="3" t="s">
        <v>176</v>
      </c>
      <c r="L37" s="24">
        <v>0.37930000000000003</v>
      </c>
      <c r="M37" s="24">
        <v>-4.02E-2</v>
      </c>
      <c r="N37" s="24">
        <v>0.26819999999999999</v>
      </c>
      <c r="O37" s="24">
        <v>0.33489999999999998</v>
      </c>
      <c r="P37" s="24">
        <v>6.59E-2</v>
      </c>
      <c r="Q37" s="24">
        <v>0.25879999999999997</v>
      </c>
      <c r="R37" s="24">
        <v>0.31109999999999999</v>
      </c>
      <c r="AZ37" s="3" t="s">
        <v>174</v>
      </c>
      <c r="BA37" s="105">
        <v>1498329</v>
      </c>
      <c r="BB37" s="106">
        <v>1251828</v>
      </c>
      <c r="BC37" s="99">
        <v>-32899</v>
      </c>
      <c r="BD37" s="97">
        <v>-49406</v>
      </c>
      <c r="BE37" s="109">
        <v>7141212</v>
      </c>
      <c r="BF37" s="104">
        <f t="shared" si="10"/>
        <v>9809064</v>
      </c>
      <c r="BG37" s="105">
        <v>282185</v>
      </c>
      <c r="BH37" s="110">
        <v>322932</v>
      </c>
    </row>
    <row r="38" spans="1:60" ht="16" x14ac:dyDescent="0.2">
      <c r="A38" s="3">
        <v>4</v>
      </c>
      <c r="B38" s="3" t="s">
        <v>175</v>
      </c>
      <c r="C38" s="95">
        <v>100172</v>
      </c>
      <c r="D38" s="95">
        <v>1246050</v>
      </c>
      <c r="E38" s="95">
        <v>1095407</v>
      </c>
      <c r="F38" s="95">
        <v>1262767</v>
      </c>
      <c r="G38" s="95">
        <v>4517015</v>
      </c>
      <c r="H38" s="95">
        <v>344219</v>
      </c>
      <c r="I38" s="95">
        <v>1873951</v>
      </c>
      <c r="K38" s="3" t="s">
        <v>177</v>
      </c>
      <c r="L38" s="24">
        <v>0.18720000000000001</v>
      </c>
      <c r="M38" s="24">
        <v>0.35930000000000001</v>
      </c>
      <c r="N38" s="24">
        <v>0.23860000000000001</v>
      </c>
      <c r="O38" s="24">
        <v>0.2475</v>
      </c>
      <c r="P38" s="24">
        <v>3.4299999999999997E-2</v>
      </c>
      <c r="Q38" s="24">
        <v>0.97640000000000005</v>
      </c>
      <c r="R38" s="24">
        <v>0.21210000000000001</v>
      </c>
      <c r="AZ38" s="3" t="s">
        <v>175</v>
      </c>
      <c r="BA38" s="105">
        <v>1873951</v>
      </c>
      <c r="BB38" s="106">
        <v>1573235</v>
      </c>
      <c r="BC38" s="99">
        <v>-5516</v>
      </c>
      <c r="BD38" s="97">
        <v>-35728</v>
      </c>
      <c r="BE38" s="109">
        <v>10439581</v>
      </c>
      <c r="BF38" s="104">
        <f t="shared" si="10"/>
        <v>13845523</v>
      </c>
      <c r="BG38" s="105">
        <v>427649</v>
      </c>
      <c r="BH38" s="110">
        <v>434625</v>
      </c>
    </row>
    <row r="39" spans="1:60" ht="16" x14ac:dyDescent="0.2">
      <c r="A39" s="3">
        <v>5</v>
      </c>
      <c r="B39" s="3" t="s">
        <v>176</v>
      </c>
      <c r="C39" s="95">
        <v>138163</v>
      </c>
      <c r="D39" s="95">
        <v>1195995</v>
      </c>
      <c r="E39" s="95">
        <v>1389155</v>
      </c>
      <c r="F39" s="95">
        <v>1685730</v>
      </c>
      <c r="G39" s="95">
        <v>4814799</v>
      </c>
      <c r="H39" s="95">
        <v>433306</v>
      </c>
      <c r="I39" s="56">
        <v>2456883</v>
      </c>
      <c r="K39" s="3" t="s">
        <v>178</v>
      </c>
      <c r="L39" s="24">
        <v>0.2082</v>
      </c>
      <c r="M39" s="24">
        <v>8.7900000000000006E-2</v>
      </c>
      <c r="N39" s="24">
        <v>0.19520000000000001</v>
      </c>
      <c r="O39" s="24">
        <v>9.8799999999999999E-2</v>
      </c>
      <c r="P39" s="24">
        <v>0.10539999999999999</v>
      </c>
      <c r="Q39" s="24">
        <v>7.6700000000000004E-2</v>
      </c>
      <c r="R39" s="24">
        <v>0.1615</v>
      </c>
      <c r="AZ39" s="3" t="s">
        <v>176</v>
      </c>
      <c r="BA39" s="106">
        <v>2456883</v>
      </c>
      <c r="BB39" s="106">
        <v>2054360</v>
      </c>
      <c r="BC39" s="99">
        <v>-17062</v>
      </c>
      <c r="BD39" s="97">
        <v>-9355</v>
      </c>
      <c r="BE39" s="109">
        <v>12114031</v>
      </c>
      <c r="BF39" s="104">
        <f t="shared" si="10"/>
        <v>16598857</v>
      </c>
      <c r="BG39" s="105">
        <v>544839</v>
      </c>
      <c r="BH39" s="110">
        <v>613173</v>
      </c>
    </row>
    <row r="40" spans="1:60" ht="16" x14ac:dyDescent="0.2">
      <c r="A40" s="3">
        <v>6</v>
      </c>
      <c r="B40" s="3" t="s">
        <v>177</v>
      </c>
      <c r="C40" s="95">
        <v>164028</v>
      </c>
      <c r="D40" s="95">
        <v>1625759</v>
      </c>
      <c r="E40" s="95">
        <v>1720543</v>
      </c>
      <c r="F40" s="95">
        <v>2102947</v>
      </c>
      <c r="G40" s="95">
        <v>4979728</v>
      </c>
      <c r="H40" s="95">
        <v>856398</v>
      </c>
      <c r="I40" s="95">
        <v>2978031</v>
      </c>
      <c r="K40" s="3" t="s">
        <v>179</v>
      </c>
      <c r="L40" s="24">
        <v>0.19819999999999999</v>
      </c>
      <c r="M40" s="24">
        <v>0.24560000000000001</v>
      </c>
      <c r="N40" s="24">
        <v>0.17369999999999999</v>
      </c>
      <c r="O40" s="24">
        <v>8.48E-2</v>
      </c>
      <c r="P40" s="24">
        <v>9.9900000000000003E-2</v>
      </c>
      <c r="Q40" s="24">
        <v>7.4999999999999997E-2</v>
      </c>
      <c r="R40" s="24">
        <v>8.5800000000000001E-2</v>
      </c>
      <c r="AZ40" s="3" t="s">
        <v>177</v>
      </c>
      <c r="BA40" s="105">
        <v>2978031</v>
      </c>
      <c r="BB40" s="106">
        <v>2480095</v>
      </c>
      <c r="BC40" s="99">
        <v>-14148</v>
      </c>
      <c r="BD40" s="97">
        <v>10148</v>
      </c>
      <c r="BE40" s="109">
        <v>14427434</v>
      </c>
      <c r="BF40" s="104">
        <f t="shared" si="10"/>
        <v>19881560</v>
      </c>
      <c r="BG40" s="105">
        <v>649846</v>
      </c>
      <c r="BH40" s="110">
        <v>737346</v>
      </c>
    </row>
    <row r="41" spans="1:60" ht="18" customHeight="1" x14ac:dyDescent="0.2">
      <c r="A41" s="3">
        <v>7</v>
      </c>
      <c r="B41" s="3" t="s">
        <v>178</v>
      </c>
      <c r="C41" s="95">
        <v>198173</v>
      </c>
      <c r="D41" s="95">
        <v>1768587</v>
      </c>
      <c r="E41" s="95">
        <v>2056315</v>
      </c>
      <c r="F41" s="95">
        <v>2310680</v>
      </c>
      <c r="G41" s="95">
        <v>5504624</v>
      </c>
      <c r="H41" s="95">
        <v>922047</v>
      </c>
      <c r="I41" s="95">
        <v>3458988</v>
      </c>
      <c r="K41" s="3" t="s">
        <v>180</v>
      </c>
      <c r="L41" s="24">
        <v>0.1467</v>
      </c>
      <c r="M41" s="24">
        <v>0.1084</v>
      </c>
      <c r="N41" s="24">
        <v>0.153</v>
      </c>
      <c r="O41" s="26">
        <v>0.1</v>
      </c>
      <c r="P41" s="24">
        <v>5.6800000000000003E-2</v>
      </c>
      <c r="Q41" s="24">
        <v>9.6500000000000002E-2</v>
      </c>
      <c r="R41" s="24">
        <v>0.1027</v>
      </c>
      <c r="AZ41" s="3" t="s">
        <v>178</v>
      </c>
      <c r="BA41" s="105">
        <v>3458988</v>
      </c>
      <c r="BB41" s="106">
        <v>2877426</v>
      </c>
      <c r="BC41" s="99">
        <v>-1067</v>
      </c>
      <c r="BD41" s="97">
        <v>1332</v>
      </c>
      <c r="BE41" s="109">
        <v>16219414</v>
      </c>
      <c r="BF41" s="104">
        <f t="shared" si="10"/>
        <v>22556093</v>
      </c>
      <c r="BG41" s="105">
        <v>898476</v>
      </c>
      <c r="BH41" s="110">
        <v>806910</v>
      </c>
    </row>
    <row r="42" spans="1:60" ht="16" x14ac:dyDescent="0.2">
      <c r="A42" s="3">
        <v>8</v>
      </c>
      <c r="B42" s="3" t="s">
        <v>179</v>
      </c>
      <c r="C42" s="95">
        <v>237458</v>
      </c>
      <c r="D42" s="95">
        <v>2202928</v>
      </c>
      <c r="E42" s="95">
        <v>2413428</v>
      </c>
      <c r="F42" s="95">
        <v>2506724</v>
      </c>
      <c r="G42" s="95">
        <v>6054336</v>
      </c>
      <c r="H42" s="95">
        <v>991193</v>
      </c>
      <c r="I42" s="95">
        <v>3755632</v>
      </c>
      <c r="K42" s="3" t="s">
        <v>181</v>
      </c>
      <c r="L42" s="24">
        <v>0.1205</v>
      </c>
      <c r="M42" s="24">
        <v>0.15179999999999999</v>
      </c>
      <c r="N42" s="24">
        <v>0.1137</v>
      </c>
      <c r="O42" s="24">
        <v>5.1799999999999999E-2</v>
      </c>
      <c r="P42" s="24">
        <v>6.0299999999999999E-2</v>
      </c>
      <c r="Q42" s="24">
        <v>0.29470000000000002</v>
      </c>
      <c r="R42" s="24">
        <v>0.1024</v>
      </c>
      <c r="AZ42" s="3" t="s">
        <v>179</v>
      </c>
      <c r="BA42" s="105">
        <v>3755632</v>
      </c>
      <c r="BB42" s="106">
        <v>3114517</v>
      </c>
      <c r="BC42" s="99">
        <v>1254</v>
      </c>
      <c r="BD42" s="97">
        <v>8130</v>
      </c>
      <c r="BE42" s="109">
        <v>18161699</v>
      </c>
      <c r="BF42" s="104">
        <f t="shared" si="10"/>
        <v>25041232</v>
      </c>
      <c r="BG42" s="105">
        <v>965263</v>
      </c>
      <c r="BH42" s="110">
        <v>866225</v>
      </c>
    </row>
    <row r="43" spans="1:60" ht="18" customHeight="1" x14ac:dyDescent="0.2">
      <c r="A43" s="3">
        <v>9</v>
      </c>
      <c r="B43" s="3" t="s">
        <v>180</v>
      </c>
      <c r="C43" s="95">
        <v>272282</v>
      </c>
      <c r="D43" s="95">
        <v>2441788</v>
      </c>
      <c r="E43" s="95">
        <v>2782754</v>
      </c>
      <c r="F43" s="95">
        <v>2757300</v>
      </c>
      <c r="G43" s="95">
        <v>6398069</v>
      </c>
      <c r="H43" s="95">
        <v>1086817</v>
      </c>
      <c r="I43" s="95">
        <v>4141468</v>
      </c>
      <c r="K43" s="3" t="s">
        <v>182</v>
      </c>
      <c r="L43" s="24">
        <v>0.1208</v>
      </c>
      <c r="M43" s="24">
        <v>8.9999999999999993E-3</v>
      </c>
      <c r="N43" s="24">
        <v>8.3199999999999996E-2</v>
      </c>
      <c r="O43" s="24">
        <v>0.1027</v>
      </c>
      <c r="P43" s="24">
        <v>3.73E-2</v>
      </c>
      <c r="Q43" s="24">
        <v>-0.1008</v>
      </c>
      <c r="R43" s="24">
        <v>0.11310000000000001</v>
      </c>
      <c r="AZ43" s="3" t="s">
        <v>180</v>
      </c>
      <c r="BA43" s="105">
        <v>4141468</v>
      </c>
      <c r="BB43" s="106">
        <v>3341385</v>
      </c>
      <c r="BC43" s="99">
        <v>37951</v>
      </c>
      <c r="BD43" s="97">
        <v>26514</v>
      </c>
      <c r="BE43" s="109">
        <v>19880478</v>
      </c>
      <c r="BF43" s="104">
        <f t="shared" si="10"/>
        <v>27427796</v>
      </c>
      <c r="BG43" s="105">
        <v>1116866</v>
      </c>
      <c r="BH43" s="110">
        <v>965443</v>
      </c>
    </row>
    <row r="44" spans="1:60" ht="16" x14ac:dyDescent="0.2">
      <c r="A44" s="3">
        <v>10</v>
      </c>
      <c r="B44" s="3" t="s">
        <v>181</v>
      </c>
      <c r="C44" s="56">
        <v>305083</v>
      </c>
      <c r="D44" s="56">
        <v>2812338</v>
      </c>
      <c r="E44" s="56">
        <v>3099134</v>
      </c>
      <c r="F44" s="56">
        <v>2900222</v>
      </c>
      <c r="G44" s="56">
        <v>6783843</v>
      </c>
      <c r="H44" s="56">
        <v>1407070</v>
      </c>
      <c r="I44" s="56">
        <v>4565592</v>
      </c>
      <c r="K44" s="93" t="s">
        <v>183</v>
      </c>
      <c r="L44" s="6"/>
      <c r="AZ44" s="3" t="s">
        <v>181</v>
      </c>
      <c r="BA44" s="106">
        <v>4565592</v>
      </c>
      <c r="BB44" s="106">
        <v>3689724</v>
      </c>
      <c r="BC44" s="99">
        <v>41554</v>
      </c>
      <c r="BD44" s="97">
        <v>38126</v>
      </c>
      <c r="BE44" s="109">
        <v>21873282</v>
      </c>
      <c r="BF44" s="104">
        <f t="shared" si="10"/>
        <v>30208278</v>
      </c>
      <c r="BG44" s="106">
        <v>1024987</v>
      </c>
      <c r="BH44" s="110">
        <v>887677</v>
      </c>
    </row>
    <row r="45" spans="1:60" ht="16" x14ac:dyDescent="0.2">
      <c r="A45" s="3">
        <v>11</v>
      </c>
      <c r="B45" s="3" t="s">
        <v>182</v>
      </c>
      <c r="C45" s="56">
        <v>341936</v>
      </c>
      <c r="D45" s="56">
        <v>2837655</v>
      </c>
      <c r="E45" s="56">
        <v>3357098</v>
      </c>
      <c r="F45" s="56">
        <v>3197938</v>
      </c>
      <c r="G45" s="56">
        <v>7036611</v>
      </c>
      <c r="H45" s="56">
        <v>1265183</v>
      </c>
      <c r="I45" s="56">
        <v>5081860</v>
      </c>
      <c r="J45">
        <f>SUM(C45:I45)</f>
        <v>23118281</v>
      </c>
      <c r="AZ45" s="75" t="s">
        <v>182</v>
      </c>
      <c r="BA45" s="107">
        <v>5081860</v>
      </c>
      <c r="BB45" s="106">
        <v>4105823</v>
      </c>
      <c r="BC45" s="101">
        <v>25412</v>
      </c>
      <c r="BD45" s="97">
        <v>15667</v>
      </c>
      <c r="BE45" s="109">
        <v>23118281</v>
      </c>
      <c r="BF45" s="104">
        <f t="shared" si="10"/>
        <v>32347043</v>
      </c>
      <c r="BG45" s="107">
        <v>584783</v>
      </c>
      <c r="BH45" s="110">
        <v>432715</v>
      </c>
    </row>
    <row r="46" spans="1:60" ht="16" x14ac:dyDescent="0.2">
      <c r="A46" s="7">
        <v>12</v>
      </c>
      <c r="B46" s="7" t="s">
        <v>183</v>
      </c>
      <c r="C46" s="94">
        <v>5655179</v>
      </c>
      <c r="D46" s="94">
        <v>372180</v>
      </c>
      <c r="E46" s="94">
        <v>3417995</v>
      </c>
      <c r="F46" s="94">
        <v>3597896</v>
      </c>
      <c r="G46" s="94">
        <v>3509043</v>
      </c>
      <c r="H46" s="94">
        <v>7369562</v>
      </c>
      <c r="I46" s="94">
        <v>1327809</v>
      </c>
      <c r="AZ46" s="64" t="s">
        <v>183</v>
      </c>
      <c r="BA46" s="108">
        <v>5655179</v>
      </c>
      <c r="BB46" s="106">
        <v>4571002</v>
      </c>
      <c r="BC46" s="102">
        <v>52892</v>
      </c>
      <c r="BD46" s="97">
        <v>5320</v>
      </c>
      <c r="BE46" s="109">
        <v>25249664</v>
      </c>
      <c r="BF46" s="104">
        <f t="shared" si="10"/>
        <v>35534057</v>
      </c>
      <c r="BG46" s="108">
        <v>896430</v>
      </c>
      <c r="BH46" s="110">
        <v>753556</v>
      </c>
    </row>
    <row r="47" spans="1:60" x14ac:dyDescent="0.2">
      <c r="B47" s="96" t="s">
        <v>6</v>
      </c>
      <c r="C47" s="57">
        <f t="shared" ref="C47:H47" si="11">SUM(C35:C45)</f>
        <v>1855835</v>
      </c>
      <c r="D47" s="57">
        <f t="shared" si="11"/>
        <v>18833564</v>
      </c>
      <c r="E47" s="57">
        <f t="shared" si="11"/>
        <v>19345314</v>
      </c>
      <c r="F47" s="57">
        <f t="shared" si="11"/>
        <v>20842173</v>
      </c>
      <c r="G47" s="57">
        <f t="shared" si="11"/>
        <v>51109325</v>
      </c>
      <c r="H47" s="57">
        <f t="shared" si="11"/>
        <v>7827745</v>
      </c>
      <c r="I47" s="57">
        <f>SUM(I35:I45)</f>
        <v>31296268</v>
      </c>
    </row>
    <row r="48" spans="1:60" ht="16" thickBot="1" x14ac:dyDescent="0.25">
      <c r="B48" s="96"/>
      <c r="C48" s="57"/>
      <c r="D48" s="57"/>
      <c r="E48" s="57"/>
      <c r="F48" s="57"/>
      <c r="G48" s="57"/>
      <c r="H48" s="57"/>
      <c r="I48" s="57"/>
    </row>
    <row r="49" spans="1:11" ht="16" thickBot="1" x14ac:dyDescent="0.25">
      <c r="A49" s="33"/>
      <c r="B49" s="33" t="s">
        <v>198</v>
      </c>
      <c r="C49" s="33" t="s">
        <v>199</v>
      </c>
      <c r="D49" s="33" t="s">
        <v>200</v>
      </c>
      <c r="E49" s="33" t="s">
        <v>176</v>
      </c>
      <c r="F49" s="33" t="s">
        <v>201</v>
      </c>
      <c r="G49" s="33" t="s">
        <v>202</v>
      </c>
      <c r="H49" s="33" t="s">
        <v>203</v>
      </c>
      <c r="I49" s="33" t="s">
        <v>204</v>
      </c>
      <c r="J49" s="33" t="s">
        <v>205</v>
      </c>
      <c r="K49" s="33" t="s">
        <v>206</v>
      </c>
    </row>
    <row r="50" spans="1:11" ht="16" thickBot="1" x14ac:dyDescent="0.25">
      <c r="A50" s="33" t="s">
        <v>161</v>
      </c>
      <c r="B50" s="34">
        <v>12.61</v>
      </c>
      <c r="C50" s="34">
        <v>1.17</v>
      </c>
      <c r="D50" s="34">
        <v>0.52</v>
      </c>
      <c r="E50" s="34">
        <v>0.38</v>
      </c>
      <c r="F50" s="34">
        <v>0.19</v>
      </c>
      <c r="G50" s="34">
        <v>0.21</v>
      </c>
      <c r="H50" s="34">
        <v>0.2</v>
      </c>
      <c r="I50" s="34">
        <v>0.15</v>
      </c>
      <c r="J50" s="34">
        <v>0.12</v>
      </c>
      <c r="K50" s="34">
        <v>0.12</v>
      </c>
    </row>
    <row r="51" spans="1:11" ht="16" thickBot="1" x14ac:dyDescent="0.25">
      <c r="A51" s="33" t="s">
        <v>162</v>
      </c>
      <c r="B51" s="34">
        <v>1.62</v>
      </c>
      <c r="C51" s="34">
        <v>0.13</v>
      </c>
      <c r="D51" s="34">
        <v>0.03</v>
      </c>
      <c r="E51" s="34">
        <v>-0.04</v>
      </c>
      <c r="F51" s="34">
        <v>0.36</v>
      </c>
      <c r="G51" s="34">
        <v>0.09</v>
      </c>
      <c r="H51" s="34">
        <v>0.25</v>
      </c>
      <c r="I51" s="34">
        <v>0.11</v>
      </c>
      <c r="J51" s="34">
        <v>0.15</v>
      </c>
      <c r="K51" s="34">
        <v>0.01</v>
      </c>
    </row>
    <row r="52" spans="1:11" ht="16" thickBot="1" x14ac:dyDescent="0.25">
      <c r="A52" s="33" t="s">
        <v>163</v>
      </c>
      <c r="B52" s="34">
        <v>2.2400000000000002</v>
      </c>
      <c r="C52" s="34">
        <v>0.77</v>
      </c>
      <c r="D52" s="34">
        <v>0.33</v>
      </c>
      <c r="E52" s="34">
        <v>0.27</v>
      </c>
      <c r="F52" s="34">
        <v>0.24</v>
      </c>
      <c r="G52" s="34">
        <v>0.19</v>
      </c>
      <c r="H52" s="34">
        <v>0.17</v>
      </c>
      <c r="I52" s="34">
        <v>0.15</v>
      </c>
      <c r="J52" s="34">
        <v>0.11</v>
      </c>
      <c r="K52" s="34">
        <v>0.08</v>
      </c>
    </row>
    <row r="53" spans="1:11" ht="16" thickBot="1" x14ac:dyDescent="0.25">
      <c r="A53" s="33" t="s">
        <v>164</v>
      </c>
      <c r="B53" s="34">
        <v>0.42</v>
      </c>
      <c r="C53" s="34">
        <v>0.69</v>
      </c>
      <c r="D53" s="34">
        <v>0.2</v>
      </c>
      <c r="E53" s="34">
        <v>0.34</v>
      </c>
      <c r="F53" s="34">
        <v>0.25</v>
      </c>
      <c r="G53" s="34">
        <v>0.1</v>
      </c>
      <c r="H53" s="34">
        <v>0.08</v>
      </c>
      <c r="I53" s="34">
        <v>0.1</v>
      </c>
      <c r="J53" s="34">
        <v>0.05</v>
      </c>
      <c r="K53" s="34">
        <v>0.1</v>
      </c>
    </row>
    <row r="54" spans="1:11" ht="16" thickBot="1" x14ac:dyDescent="0.25">
      <c r="A54" s="33" t="s">
        <v>165</v>
      </c>
      <c r="B54" s="34">
        <v>0.51</v>
      </c>
      <c r="C54" s="34">
        <v>0.32</v>
      </c>
      <c r="D54" s="34">
        <v>1.03</v>
      </c>
      <c r="E54" s="34">
        <v>7.0000000000000007E-2</v>
      </c>
      <c r="F54" s="34">
        <v>0.03</v>
      </c>
      <c r="G54" s="34">
        <v>0.11</v>
      </c>
      <c r="H54" s="34">
        <v>0.1</v>
      </c>
      <c r="I54" s="34">
        <v>0.06</v>
      </c>
      <c r="J54" s="34">
        <v>0.06</v>
      </c>
      <c r="K54" s="34">
        <v>0.04</v>
      </c>
    </row>
    <row r="55" spans="1:11" ht="16" thickBot="1" x14ac:dyDescent="0.25">
      <c r="A55" s="33" t="s">
        <v>166</v>
      </c>
      <c r="B55" s="34">
        <v>1.07</v>
      </c>
      <c r="C55" s="34">
        <v>0.45</v>
      </c>
      <c r="D55" s="34">
        <v>0.34</v>
      </c>
      <c r="E55" s="34">
        <v>0.26</v>
      </c>
      <c r="F55" s="34">
        <v>0.98</v>
      </c>
      <c r="G55" s="34">
        <v>0.08</v>
      </c>
      <c r="H55" s="34">
        <v>0.08</v>
      </c>
      <c r="I55" s="34">
        <v>0.1</v>
      </c>
      <c r="J55" s="34">
        <v>0.28999999999999998</v>
      </c>
      <c r="K55" s="34">
        <v>-0.1</v>
      </c>
    </row>
    <row r="56" spans="1:11" ht="14.5" customHeight="1" thickBot="1" x14ac:dyDescent="0.25">
      <c r="A56" s="45" t="s">
        <v>167</v>
      </c>
      <c r="B56" s="46">
        <v>1.29</v>
      </c>
      <c r="C56" s="46">
        <v>0.45</v>
      </c>
      <c r="D56" s="46">
        <v>0.25</v>
      </c>
      <c r="E56" s="46">
        <v>0.31</v>
      </c>
      <c r="F56" s="46">
        <v>0.21</v>
      </c>
      <c r="G56" s="46">
        <v>0.16</v>
      </c>
      <c r="H56" s="46">
        <v>0.09</v>
      </c>
      <c r="I56" s="46">
        <v>0.1</v>
      </c>
      <c r="J56" s="46">
        <v>0.1</v>
      </c>
      <c r="K56" s="46">
        <v>0.11</v>
      </c>
    </row>
  </sheetData>
  <mergeCells count="11">
    <mergeCell ref="AZ33:BG33"/>
    <mergeCell ref="AZ1:BH1"/>
    <mergeCell ref="BK1:BR1"/>
    <mergeCell ref="BU1:CB1"/>
    <mergeCell ref="AE1:AM1"/>
    <mergeCell ref="AO1:AW1"/>
    <mergeCell ref="A32:I32"/>
    <mergeCell ref="K17:S17"/>
    <mergeCell ref="A1:I1"/>
    <mergeCell ref="K1:S1"/>
    <mergeCell ref="U1:AC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0DD0-0143-4FE0-A3C5-1A9619B78D48}">
  <dimension ref="A1:AC146"/>
  <sheetViews>
    <sheetView topLeftCell="A71" zoomScale="26" workbookViewId="0">
      <selection activeCell="D140" sqref="C129:D140"/>
    </sheetView>
  </sheetViews>
  <sheetFormatPr baseColWidth="10" defaultColWidth="8.83203125" defaultRowHeight="15" x14ac:dyDescent="0.2"/>
  <cols>
    <col min="1" max="2" width="22.83203125" customWidth="1"/>
    <col min="3" max="3" width="17.83203125" bestFit="1" customWidth="1"/>
    <col min="4" max="4" width="16.6640625" bestFit="1" customWidth="1"/>
    <col min="5" max="5" width="17.6640625" bestFit="1" customWidth="1"/>
    <col min="6" max="6" width="19.5" bestFit="1" customWidth="1"/>
    <col min="7" max="7" width="18.83203125" style="47" bestFit="1" customWidth="1"/>
    <col min="8" max="8" width="17.6640625" bestFit="1" customWidth="1"/>
    <col min="9" max="9" width="18" bestFit="1" customWidth="1"/>
    <col min="10" max="10" width="18.33203125" bestFit="1" customWidth="1"/>
    <col min="11" max="11" width="21" style="51" bestFit="1" customWidth="1"/>
    <col min="12" max="12" width="13.5" style="47" customWidth="1"/>
    <col min="13" max="13" width="18.83203125" bestFit="1" customWidth="1"/>
    <col min="17" max="17" width="35.5" customWidth="1"/>
    <col min="18" max="18" width="28.6640625" customWidth="1"/>
    <col min="19" max="19" width="18.33203125" bestFit="1" customWidth="1"/>
    <col min="20" max="20" width="31.1640625" customWidth="1"/>
    <col min="21" max="21" width="16.83203125" customWidth="1"/>
    <col min="22" max="22" width="13.33203125" bestFit="1" customWidth="1"/>
    <col min="23" max="23" width="32.33203125" customWidth="1"/>
    <col min="24" max="24" width="13.6640625" bestFit="1" customWidth="1"/>
    <col min="25" max="25" width="13.83203125" bestFit="1" customWidth="1"/>
    <col min="26" max="26" width="14.5" bestFit="1" customWidth="1"/>
    <col min="27" max="27" width="15" bestFit="1" customWidth="1"/>
    <col min="28" max="28" width="14.5" bestFit="1" customWidth="1"/>
    <col min="29" max="29" width="13.83203125" bestFit="1" customWidth="1"/>
  </cols>
  <sheetData>
    <row r="1" spans="1:24" x14ac:dyDescent="0.2">
      <c r="A1" t="s">
        <v>207</v>
      </c>
      <c r="F1" t="s">
        <v>208</v>
      </c>
      <c r="K1" s="51" t="s">
        <v>209</v>
      </c>
      <c r="Q1" t="s">
        <v>46</v>
      </c>
      <c r="T1" t="s">
        <v>210</v>
      </c>
      <c r="W1" t="s">
        <v>80</v>
      </c>
    </row>
    <row r="2" spans="1:24" ht="32" x14ac:dyDescent="0.2">
      <c r="A2" s="8" t="s">
        <v>211</v>
      </c>
      <c r="B2" s="52">
        <v>9074730</v>
      </c>
      <c r="C2" s="8"/>
      <c r="D2" s="8"/>
      <c r="F2" s="8" t="s">
        <v>60</v>
      </c>
      <c r="G2" s="26">
        <v>15.51</v>
      </c>
      <c r="K2" s="8" t="s">
        <v>60</v>
      </c>
      <c r="L2" s="86">
        <v>3.16</v>
      </c>
      <c r="O2" t="s">
        <v>212</v>
      </c>
      <c r="Q2" t="s">
        <v>211</v>
      </c>
      <c r="R2" s="32">
        <v>9242887</v>
      </c>
      <c r="T2" t="s">
        <v>213</v>
      </c>
      <c r="U2" s="55">
        <v>10.36</v>
      </c>
      <c r="W2" t="s">
        <v>214</v>
      </c>
      <c r="X2" s="55">
        <v>3.27</v>
      </c>
    </row>
    <row r="3" spans="1:24" ht="32" x14ac:dyDescent="0.2">
      <c r="A3" s="8" t="s">
        <v>215</v>
      </c>
      <c r="B3" s="52">
        <v>8337047</v>
      </c>
      <c r="C3" s="12"/>
      <c r="D3" s="12"/>
      <c r="F3" s="8" t="s">
        <v>67</v>
      </c>
      <c r="G3" s="86">
        <v>9.58</v>
      </c>
      <c r="K3" s="8" t="s">
        <v>77</v>
      </c>
      <c r="L3" s="86">
        <v>2.7709999999999999</v>
      </c>
      <c r="Q3" t="s">
        <v>215</v>
      </c>
      <c r="R3" s="32">
        <v>8472786</v>
      </c>
      <c r="T3" t="s">
        <v>216</v>
      </c>
      <c r="U3" s="23">
        <v>7.9516</v>
      </c>
      <c r="W3" t="s">
        <v>217</v>
      </c>
      <c r="X3" s="23">
        <v>2.5701999999999998</v>
      </c>
    </row>
    <row r="4" spans="1:24" ht="32" x14ac:dyDescent="0.2">
      <c r="A4" s="8" t="s">
        <v>218</v>
      </c>
      <c r="B4" s="52">
        <v>6471103</v>
      </c>
      <c r="C4" s="12"/>
      <c r="F4" s="8" t="s">
        <v>73</v>
      </c>
      <c r="G4" s="86">
        <v>7.9565999999999999</v>
      </c>
      <c r="K4" s="8" t="s">
        <v>73</v>
      </c>
      <c r="L4" s="86">
        <v>2.7414000000000001</v>
      </c>
      <c r="Q4" t="s">
        <v>218</v>
      </c>
      <c r="R4" s="32">
        <v>6520493</v>
      </c>
      <c r="T4" t="s">
        <v>219</v>
      </c>
      <c r="U4" s="23">
        <v>7.7737999999999996</v>
      </c>
      <c r="W4" t="s">
        <v>220</v>
      </c>
      <c r="X4" s="23">
        <v>2.3980000000000001</v>
      </c>
    </row>
    <row r="5" spans="1:24" ht="32" x14ac:dyDescent="0.2">
      <c r="A5" s="8" t="s">
        <v>221</v>
      </c>
      <c r="B5" s="52">
        <v>6193550</v>
      </c>
      <c r="C5" s="12"/>
      <c r="F5" s="8" t="s">
        <v>65</v>
      </c>
      <c r="G5" s="86">
        <v>7.62</v>
      </c>
      <c r="K5" s="8" t="s">
        <v>11</v>
      </c>
      <c r="L5" s="86">
        <v>2.5211999999999999</v>
      </c>
      <c r="Q5" t="s">
        <v>221</v>
      </c>
      <c r="R5" s="32">
        <v>6211788</v>
      </c>
      <c r="T5" t="s">
        <v>222</v>
      </c>
      <c r="U5" s="55">
        <v>7.53</v>
      </c>
      <c r="W5" t="s">
        <v>223</v>
      </c>
      <c r="X5" s="55">
        <v>2.36</v>
      </c>
    </row>
    <row r="6" spans="1:24" ht="32" x14ac:dyDescent="0.2">
      <c r="A6" s="8" t="s">
        <v>224</v>
      </c>
      <c r="B6" s="52">
        <v>4622870</v>
      </c>
      <c r="C6" s="12"/>
      <c r="F6" s="8" t="s">
        <v>77</v>
      </c>
      <c r="G6" s="86">
        <v>7.423</v>
      </c>
      <c r="K6" s="8" t="s">
        <v>225</v>
      </c>
      <c r="L6" s="86">
        <v>2.27</v>
      </c>
      <c r="Q6" t="s">
        <v>224</v>
      </c>
      <c r="R6" s="32">
        <v>4327514</v>
      </c>
      <c r="T6" t="s">
        <v>220</v>
      </c>
      <c r="U6" s="23">
        <v>6.9710000000000001</v>
      </c>
      <c r="W6" t="s">
        <v>221</v>
      </c>
      <c r="X6" s="23">
        <v>2.3563999999999998</v>
      </c>
    </row>
    <row r="7" spans="1:24" ht="32" x14ac:dyDescent="0.2">
      <c r="A7" s="8" t="s">
        <v>226</v>
      </c>
      <c r="B7" s="52">
        <v>3147856</v>
      </c>
      <c r="C7" s="12"/>
      <c r="F7" s="8" t="s">
        <v>227</v>
      </c>
      <c r="G7" s="86">
        <v>6.97</v>
      </c>
      <c r="K7" s="8" t="s">
        <v>228</v>
      </c>
      <c r="L7" s="86">
        <v>2.19</v>
      </c>
      <c r="Q7" t="s">
        <v>229</v>
      </c>
      <c r="R7" s="32">
        <v>2953577</v>
      </c>
      <c r="T7" t="s">
        <v>230</v>
      </c>
      <c r="U7" s="55">
        <v>6.71</v>
      </c>
      <c r="W7" t="s">
        <v>231</v>
      </c>
      <c r="X7" s="23">
        <v>2.2753999999999999</v>
      </c>
    </row>
    <row r="8" spans="1:24" ht="32" x14ac:dyDescent="0.2">
      <c r="A8" s="8" t="s">
        <v>229</v>
      </c>
      <c r="B8" s="52">
        <v>2891887</v>
      </c>
      <c r="C8" s="12"/>
      <c r="F8" s="8" t="s">
        <v>74</v>
      </c>
      <c r="G8" s="86">
        <v>6.44</v>
      </c>
      <c r="K8" s="8" t="s">
        <v>67</v>
      </c>
      <c r="L8" s="86">
        <v>2.1634000000000002</v>
      </c>
      <c r="Q8" t="s">
        <v>232</v>
      </c>
      <c r="R8" s="32">
        <v>2162635</v>
      </c>
      <c r="T8" t="s">
        <v>233</v>
      </c>
      <c r="U8" s="23">
        <v>5.9134000000000002</v>
      </c>
      <c r="W8" t="s">
        <v>218</v>
      </c>
      <c r="X8" s="23">
        <v>2.1762000000000001</v>
      </c>
    </row>
    <row r="9" spans="1:24" ht="32" x14ac:dyDescent="0.2">
      <c r="A9" s="8" t="s">
        <v>234</v>
      </c>
      <c r="B9" s="52">
        <v>2125980</v>
      </c>
      <c r="C9" s="12"/>
      <c r="F9" s="8" t="s">
        <v>76</v>
      </c>
      <c r="G9" s="86">
        <v>6.0837000000000003</v>
      </c>
      <c r="K9" s="8" t="s">
        <v>26</v>
      </c>
      <c r="L9" s="86">
        <v>2.1623999999999999</v>
      </c>
      <c r="Q9" t="s">
        <v>234</v>
      </c>
      <c r="R9" s="32">
        <v>2087976</v>
      </c>
      <c r="T9" t="s">
        <v>233</v>
      </c>
      <c r="U9" s="23">
        <v>5.9134000000000002</v>
      </c>
      <c r="W9" t="s">
        <v>213</v>
      </c>
      <c r="X9" s="23">
        <v>2.1507000000000001</v>
      </c>
    </row>
    <row r="10" spans="1:24" ht="32" x14ac:dyDescent="0.2">
      <c r="A10" s="8" t="s">
        <v>232</v>
      </c>
      <c r="B10" s="52">
        <v>2001057</v>
      </c>
      <c r="C10" s="12"/>
      <c r="F10" s="8" t="s">
        <v>235</v>
      </c>
      <c r="G10" s="86">
        <v>5.2043999999999997</v>
      </c>
      <c r="K10" s="8" t="s">
        <v>31</v>
      </c>
      <c r="L10" s="86">
        <v>2.1556000000000002</v>
      </c>
      <c r="Q10" t="s">
        <v>236</v>
      </c>
      <c r="R10" s="32">
        <v>1907713</v>
      </c>
      <c r="T10" t="s">
        <v>237</v>
      </c>
      <c r="U10" s="23">
        <v>5.6570999999999998</v>
      </c>
      <c r="W10" t="s">
        <v>229</v>
      </c>
      <c r="X10" s="23">
        <v>2.1086</v>
      </c>
    </row>
    <row r="11" spans="1:24" ht="32" x14ac:dyDescent="0.2">
      <c r="A11" s="8" t="s">
        <v>238</v>
      </c>
      <c r="B11" s="85">
        <v>1769439</v>
      </c>
      <c r="C11" s="12"/>
      <c r="F11" s="8" t="s">
        <v>239</v>
      </c>
      <c r="G11" s="86">
        <v>4.92</v>
      </c>
      <c r="H11" t="s">
        <v>240</v>
      </c>
      <c r="I11" s="55">
        <f>AVERAGE(G2:G11)</f>
        <v>7.7707700000000006</v>
      </c>
      <c r="K11" s="8" t="s">
        <v>75</v>
      </c>
      <c r="L11" s="86">
        <v>2.1</v>
      </c>
      <c r="Q11" t="s">
        <v>238</v>
      </c>
      <c r="R11" s="32">
        <v>1843714</v>
      </c>
      <c r="T11" t="s">
        <v>241</v>
      </c>
      <c r="U11" s="55">
        <v>4.74</v>
      </c>
      <c r="W11" t="s">
        <v>242</v>
      </c>
      <c r="X11" s="55">
        <v>2.04</v>
      </c>
    </row>
    <row r="12" spans="1:24" x14ac:dyDescent="0.2">
      <c r="C12" s="54"/>
      <c r="F12" s="8"/>
      <c r="G12" s="50"/>
      <c r="K12" s="52"/>
      <c r="L12" s="50"/>
    </row>
    <row r="13" spans="1:24" x14ac:dyDescent="0.2">
      <c r="C13" s="50"/>
      <c r="F13" s="8"/>
      <c r="G13" s="54"/>
      <c r="K13" s="52"/>
      <c r="L13" s="54"/>
    </row>
    <row r="14" spans="1:24" x14ac:dyDescent="0.2">
      <c r="C14" s="53"/>
      <c r="F14" s="8"/>
      <c r="G14" s="50"/>
      <c r="K14" s="52"/>
      <c r="L14" s="54"/>
    </row>
    <row r="15" spans="1:24" x14ac:dyDescent="0.2">
      <c r="C15" s="50"/>
      <c r="F15" s="8"/>
      <c r="G15" s="54"/>
      <c r="K15" s="52"/>
      <c r="L15" s="54"/>
    </row>
    <row r="16" spans="1:24" x14ac:dyDescent="0.2">
      <c r="C16" s="50"/>
      <c r="F16" s="8"/>
      <c r="G16" s="50"/>
      <c r="K16" s="52"/>
      <c r="L16" s="54"/>
    </row>
    <row r="17" spans="1:12" x14ac:dyDescent="0.2">
      <c r="C17" s="54"/>
      <c r="F17" s="8"/>
      <c r="G17" s="54"/>
      <c r="K17" s="52"/>
      <c r="L17" s="54"/>
    </row>
    <row r="18" spans="1:12" x14ac:dyDescent="0.2">
      <c r="C18" s="50"/>
      <c r="F18" s="8"/>
      <c r="G18" s="54"/>
      <c r="K18" s="52"/>
      <c r="L18" s="50"/>
    </row>
    <row r="19" spans="1:12" x14ac:dyDescent="0.2">
      <c r="C19" s="50"/>
      <c r="F19" s="8"/>
      <c r="G19" s="54"/>
      <c r="K19" s="52"/>
      <c r="L19" s="54"/>
    </row>
    <row r="20" spans="1:12" x14ac:dyDescent="0.2">
      <c r="C20" s="50"/>
      <c r="F20" s="8"/>
      <c r="G20" s="54"/>
      <c r="K20" s="52"/>
      <c r="L20" s="54"/>
    </row>
    <row r="21" spans="1:12" x14ac:dyDescent="0.2">
      <c r="C21" s="50"/>
      <c r="F21" s="8"/>
      <c r="G21" s="50"/>
      <c r="K21" s="52"/>
      <c r="L21" s="50"/>
    </row>
    <row r="22" spans="1:12" x14ac:dyDescent="0.2">
      <c r="A22" s="8"/>
      <c r="B22" s="12"/>
      <c r="C22" s="12"/>
      <c r="F22" s="8"/>
      <c r="G22" s="50"/>
      <c r="K22" s="52"/>
      <c r="L22" s="54"/>
    </row>
    <row r="23" spans="1:12" x14ac:dyDescent="0.2">
      <c r="C23" s="12"/>
      <c r="F23" s="8"/>
      <c r="G23" s="54"/>
      <c r="K23" s="52"/>
      <c r="L23" s="54"/>
    </row>
    <row r="24" spans="1:12" x14ac:dyDescent="0.2">
      <c r="C24" s="12"/>
      <c r="F24" s="8"/>
      <c r="G24" s="54"/>
      <c r="K24" s="52"/>
      <c r="L24" s="53"/>
    </row>
    <row r="25" spans="1:12" x14ac:dyDescent="0.2">
      <c r="C25" s="12"/>
      <c r="F25" s="8"/>
      <c r="G25" s="54"/>
      <c r="K25" s="52"/>
      <c r="L25" s="54"/>
    </row>
    <row r="26" spans="1:12" x14ac:dyDescent="0.2">
      <c r="C26" s="12"/>
      <c r="F26" s="8"/>
      <c r="G26" s="50"/>
      <c r="K26" s="52"/>
      <c r="L26" s="50"/>
    </row>
    <row r="27" spans="1:12" x14ac:dyDescent="0.2">
      <c r="C27" s="12"/>
      <c r="F27" s="8"/>
      <c r="G27" s="50"/>
      <c r="K27" s="52"/>
      <c r="L27" s="50"/>
    </row>
    <row r="28" spans="1:12" x14ac:dyDescent="0.2">
      <c r="C28" s="12"/>
      <c r="F28" s="8"/>
      <c r="G28" s="54"/>
      <c r="K28" s="52"/>
      <c r="L28" s="50"/>
    </row>
    <row r="29" spans="1:12" x14ac:dyDescent="0.2">
      <c r="C29" s="12"/>
      <c r="F29" s="8"/>
      <c r="G29" s="50"/>
      <c r="K29" s="52"/>
      <c r="L29" s="54"/>
    </row>
    <row r="30" spans="1:12" x14ac:dyDescent="0.2">
      <c r="C30" s="12"/>
      <c r="F30" s="8"/>
      <c r="G30" s="50"/>
      <c r="K30" s="52"/>
      <c r="L30" s="50"/>
    </row>
    <row r="31" spans="1:12" x14ac:dyDescent="0.2">
      <c r="C31" s="12"/>
      <c r="F31" s="8"/>
      <c r="G31" s="50"/>
      <c r="K31" s="52"/>
      <c r="L31" s="54"/>
    </row>
    <row r="32" spans="1:12" x14ac:dyDescent="0.2">
      <c r="C32" s="12"/>
      <c r="F32" s="8"/>
      <c r="G32" s="54"/>
      <c r="K32" s="52"/>
      <c r="L32" s="50"/>
    </row>
    <row r="33" spans="1:29" x14ac:dyDescent="0.2">
      <c r="A33" s="8"/>
      <c r="B33" s="12"/>
      <c r="C33" s="12"/>
      <c r="F33" s="8"/>
      <c r="G33" s="54"/>
      <c r="K33" s="52"/>
      <c r="L33" s="50"/>
    </row>
    <row r="34" spans="1:29" x14ac:dyDescent="0.2">
      <c r="A34" s="8"/>
      <c r="B34" s="12"/>
      <c r="C34" s="12"/>
      <c r="F34" s="8"/>
      <c r="G34" s="54"/>
      <c r="K34" s="52"/>
      <c r="L34" s="54"/>
    </row>
    <row r="35" spans="1:29" x14ac:dyDescent="0.2">
      <c r="A35" s="8"/>
      <c r="B35" s="12"/>
      <c r="C35" s="12"/>
      <c r="F35" s="8"/>
      <c r="G35" s="50"/>
      <c r="K35" s="52"/>
      <c r="L35" s="50"/>
    </row>
    <row r="36" spans="1:29" x14ac:dyDescent="0.2">
      <c r="A36" s="8"/>
      <c r="B36" s="12"/>
      <c r="C36" s="12"/>
      <c r="F36" s="8"/>
      <c r="G36" s="54"/>
      <c r="K36" s="52"/>
      <c r="L36" s="54"/>
    </row>
    <row r="37" spans="1:29" x14ac:dyDescent="0.2">
      <c r="A37" s="8"/>
      <c r="B37" s="12"/>
      <c r="C37" s="12"/>
      <c r="F37" s="8"/>
      <c r="G37" s="50"/>
      <c r="K37" s="52"/>
      <c r="L37" s="50"/>
    </row>
    <row r="38" spans="1:29" x14ac:dyDescent="0.2">
      <c r="A38" s="8"/>
      <c r="B38" s="12"/>
      <c r="C38" s="12"/>
      <c r="F38" s="8"/>
      <c r="G38" s="54"/>
      <c r="K38" s="52"/>
      <c r="L38" s="54"/>
    </row>
    <row r="39" spans="1:29" x14ac:dyDescent="0.2">
      <c r="A39" s="8"/>
      <c r="B39" s="12"/>
      <c r="C39" s="12"/>
      <c r="F39" s="8"/>
      <c r="G39" s="50"/>
      <c r="K39" s="52"/>
      <c r="L39" s="50"/>
    </row>
    <row r="40" spans="1:29" x14ac:dyDescent="0.2">
      <c r="A40" s="8"/>
      <c r="B40" s="12"/>
      <c r="C40" s="12"/>
      <c r="F40" s="8"/>
      <c r="G40" s="50"/>
      <c r="K40" s="52"/>
      <c r="L40" s="54"/>
    </row>
    <row r="41" spans="1:29" x14ac:dyDescent="0.2">
      <c r="A41" s="8"/>
      <c r="B41" s="12"/>
      <c r="C41" s="12"/>
      <c r="F41" s="8"/>
      <c r="G41" s="50"/>
      <c r="K41" s="52"/>
      <c r="L41" s="54"/>
    </row>
    <row r="42" spans="1:29" x14ac:dyDescent="0.2">
      <c r="A42" s="8"/>
      <c r="B42" s="12"/>
      <c r="C42" s="12"/>
      <c r="F42" s="8"/>
      <c r="G42" s="54"/>
      <c r="K42" s="52"/>
      <c r="L42" s="54"/>
    </row>
    <row r="43" spans="1:29" x14ac:dyDescent="0.2">
      <c r="A43" s="8"/>
      <c r="B43" s="12"/>
      <c r="C43" s="12"/>
      <c r="F43" s="8"/>
      <c r="G43" s="50"/>
      <c r="K43" s="52"/>
      <c r="L43" s="50"/>
    </row>
    <row r="44" spans="1:29" x14ac:dyDescent="0.2">
      <c r="A44" s="8"/>
      <c r="B44" s="12"/>
      <c r="C44" s="12"/>
      <c r="F44" s="8"/>
      <c r="G44" s="54"/>
      <c r="K44" s="52"/>
      <c r="L44" s="50"/>
    </row>
    <row r="45" spans="1:29" x14ac:dyDescent="0.2">
      <c r="A45" s="8"/>
      <c r="B45" s="12"/>
      <c r="C45" s="12"/>
      <c r="F45" s="8"/>
      <c r="G45" s="50"/>
      <c r="K45" s="52"/>
      <c r="L45" s="54"/>
    </row>
    <row r="46" spans="1:29" ht="16" x14ac:dyDescent="0.2">
      <c r="A46" s="8"/>
      <c r="B46" s="127" t="str">
        <f>B48</f>
        <v>Januari</v>
      </c>
      <c r="C46" s="12"/>
      <c r="F46" s="8"/>
      <c r="G46" s="54"/>
      <c r="K46" s="52"/>
      <c r="L46" s="50"/>
    </row>
    <row r="47" spans="1:29" ht="16" x14ac:dyDescent="0.2">
      <c r="A47" s="8" t="s">
        <v>158</v>
      </c>
      <c r="B47" s="12"/>
      <c r="C47" s="12"/>
      <c r="F47" s="8"/>
      <c r="G47" s="54"/>
      <c r="K47" s="52"/>
      <c r="L47" s="54"/>
      <c r="Q47" t="s">
        <v>243</v>
      </c>
    </row>
    <row r="48" spans="1:29" ht="16" x14ac:dyDescent="0.2">
      <c r="A48" s="116" t="s">
        <v>244</v>
      </c>
      <c r="B48" s="117" t="s">
        <v>172</v>
      </c>
      <c r="C48" s="117" t="s">
        <v>173</v>
      </c>
      <c r="D48" s="117" t="s">
        <v>174</v>
      </c>
      <c r="E48" s="117" t="s">
        <v>175</v>
      </c>
      <c r="F48" s="117" t="s">
        <v>176</v>
      </c>
      <c r="G48" s="117" t="s">
        <v>177</v>
      </c>
      <c r="H48" s="117" t="s">
        <v>178</v>
      </c>
      <c r="I48" s="117" t="s">
        <v>179</v>
      </c>
      <c r="J48" s="117" t="s">
        <v>180</v>
      </c>
      <c r="K48" s="117" t="s">
        <v>181</v>
      </c>
      <c r="L48" s="117" t="s">
        <v>182</v>
      </c>
      <c r="M48" s="118" t="s">
        <v>183</v>
      </c>
      <c r="Q48" s="125" t="s">
        <v>244</v>
      </c>
      <c r="R48" s="125" t="s">
        <v>172</v>
      </c>
      <c r="S48" s="125" t="s">
        <v>173</v>
      </c>
      <c r="T48" s="125" t="s">
        <v>174</v>
      </c>
      <c r="U48" s="125" t="s">
        <v>175</v>
      </c>
      <c r="V48" s="125" t="s">
        <v>176</v>
      </c>
      <c r="W48" s="125" t="s">
        <v>177</v>
      </c>
      <c r="X48" s="125" t="s">
        <v>178</v>
      </c>
      <c r="Y48" s="125" t="s">
        <v>179</v>
      </c>
      <c r="Z48" s="125" t="s">
        <v>180</v>
      </c>
      <c r="AA48" s="125" t="s">
        <v>181</v>
      </c>
      <c r="AB48" s="125" t="s">
        <v>182</v>
      </c>
      <c r="AC48" s="116" t="s">
        <v>183</v>
      </c>
    </row>
    <row r="49" spans="1:29" ht="16" x14ac:dyDescent="0.2">
      <c r="A49" s="116" t="s">
        <v>245</v>
      </c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8"/>
      <c r="Q49" s="125" t="s">
        <v>245</v>
      </c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16"/>
    </row>
    <row r="50" spans="1:29" ht="32" x14ac:dyDescent="0.2">
      <c r="A50" s="116" t="s">
        <v>246</v>
      </c>
      <c r="B50" s="117"/>
      <c r="C50" s="117"/>
      <c r="D50" s="117"/>
      <c r="E50" s="117"/>
      <c r="F50" s="117"/>
      <c r="G50" s="117"/>
      <c r="H50" s="117"/>
      <c r="I50" s="117"/>
      <c r="J50" s="117"/>
      <c r="K50" s="117">
        <v>4435641</v>
      </c>
      <c r="L50" s="117">
        <v>484062</v>
      </c>
      <c r="M50" s="118">
        <v>5312217</v>
      </c>
      <c r="Q50" s="125" t="s">
        <v>246</v>
      </c>
      <c r="R50" s="125"/>
      <c r="S50" s="125"/>
      <c r="T50" s="125"/>
      <c r="U50" s="125"/>
      <c r="V50" s="125"/>
      <c r="W50" s="125"/>
      <c r="X50" s="125"/>
      <c r="Y50" s="125"/>
      <c r="Z50" s="125"/>
      <c r="AA50" s="125">
        <v>1246488</v>
      </c>
      <c r="AB50" s="125">
        <v>1456091</v>
      </c>
      <c r="AC50" s="116">
        <v>1041258</v>
      </c>
    </row>
    <row r="51" spans="1:29" ht="16" x14ac:dyDescent="0.2">
      <c r="A51" s="116" t="s">
        <v>247</v>
      </c>
      <c r="B51" s="117">
        <v>27336</v>
      </c>
      <c r="C51" s="117">
        <v>42477</v>
      </c>
      <c r="D51" s="117">
        <v>63104</v>
      </c>
      <c r="E51" s="117">
        <v>107207</v>
      </c>
      <c r="F51" s="117">
        <v>137117</v>
      </c>
      <c r="G51" s="117">
        <v>180036</v>
      </c>
      <c r="H51" s="117">
        <v>207165</v>
      </c>
      <c r="I51" s="117">
        <v>243398</v>
      </c>
      <c r="J51" s="117">
        <v>323314</v>
      </c>
      <c r="K51" s="117">
        <v>386832</v>
      </c>
      <c r="L51" s="117">
        <v>404921</v>
      </c>
      <c r="M51" s="118">
        <v>432815</v>
      </c>
      <c r="Q51" s="125" t="s">
        <v>247</v>
      </c>
      <c r="R51" s="125">
        <v>6817</v>
      </c>
      <c r="S51" s="125">
        <v>10291</v>
      </c>
      <c r="T51" s="125">
        <v>15965</v>
      </c>
      <c r="U51" s="125">
        <v>23528</v>
      </c>
      <c r="V51" s="125">
        <v>31525</v>
      </c>
      <c r="W51" s="125">
        <v>40826</v>
      </c>
      <c r="X51" s="125">
        <v>47198</v>
      </c>
      <c r="Y51" s="125">
        <v>55191</v>
      </c>
      <c r="Z51" s="125">
        <v>63285</v>
      </c>
      <c r="AA51" s="125">
        <v>73819</v>
      </c>
      <c r="AB51" s="125">
        <v>79628</v>
      </c>
      <c r="AC51" s="116">
        <v>88922</v>
      </c>
    </row>
    <row r="52" spans="1:29" ht="32" x14ac:dyDescent="0.2">
      <c r="A52" s="116" t="s">
        <v>248</v>
      </c>
      <c r="B52" s="117">
        <v>16557</v>
      </c>
      <c r="C52" s="117">
        <v>28571</v>
      </c>
      <c r="D52" s="117">
        <v>54329</v>
      </c>
      <c r="E52" s="117">
        <v>63039</v>
      </c>
      <c r="F52" s="117">
        <v>76439</v>
      </c>
      <c r="G52" s="117">
        <v>97022</v>
      </c>
      <c r="H52" s="117">
        <v>112320</v>
      </c>
      <c r="I52" s="117">
        <v>139833</v>
      </c>
      <c r="J52" s="117">
        <v>169626</v>
      </c>
      <c r="K52" s="117">
        <v>185375</v>
      </c>
      <c r="L52" s="117">
        <v>201711</v>
      </c>
      <c r="M52" s="118">
        <v>222724</v>
      </c>
      <c r="Q52" s="125" t="s">
        <v>248</v>
      </c>
      <c r="R52" s="125">
        <v>-13895</v>
      </c>
      <c r="S52" s="125">
        <v>-10950</v>
      </c>
      <c r="T52" s="125">
        <v>11940</v>
      </c>
      <c r="U52" s="125">
        <v>17463</v>
      </c>
      <c r="V52" s="125">
        <v>24346</v>
      </c>
      <c r="W52" s="125">
        <v>33843</v>
      </c>
      <c r="X52" s="125">
        <v>37546</v>
      </c>
      <c r="Y52" s="125">
        <v>43814</v>
      </c>
      <c r="Z52" s="125">
        <v>47963</v>
      </c>
      <c r="AA52" s="125">
        <v>54886</v>
      </c>
      <c r="AB52" s="125">
        <v>59439</v>
      </c>
      <c r="AC52" s="116">
        <v>64410</v>
      </c>
    </row>
    <row r="53" spans="1:29" ht="16" x14ac:dyDescent="0.2">
      <c r="A53" s="116" t="s">
        <v>249</v>
      </c>
      <c r="B53" s="117">
        <v>1525475</v>
      </c>
      <c r="C53" s="117">
        <v>2125613</v>
      </c>
      <c r="D53" s="117">
        <v>2657859</v>
      </c>
      <c r="E53" s="117">
        <v>3220491</v>
      </c>
      <c r="F53" s="117">
        <v>3692239</v>
      </c>
      <c r="G53" s="117">
        <v>4202227</v>
      </c>
      <c r="H53" s="117">
        <v>4808044</v>
      </c>
      <c r="I53" s="117">
        <v>5383081</v>
      </c>
      <c r="J53" s="117">
        <v>5932416</v>
      </c>
      <c r="K53" s="117">
        <v>6580190</v>
      </c>
      <c r="L53" s="117">
        <v>7104520</v>
      </c>
      <c r="M53" s="118">
        <v>7693605</v>
      </c>
      <c r="Q53" s="125" t="s">
        <v>249</v>
      </c>
      <c r="R53" s="125">
        <v>-266207</v>
      </c>
      <c r="S53" s="125">
        <v>326904</v>
      </c>
      <c r="T53" s="125">
        <v>479551</v>
      </c>
      <c r="U53" s="125">
        <v>631154</v>
      </c>
      <c r="V53" s="125">
        <v>787100</v>
      </c>
      <c r="W53" s="125">
        <v>948038</v>
      </c>
      <c r="X53" s="125">
        <v>1107094</v>
      </c>
      <c r="Y53" s="125">
        <v>1270180</v>
      </c>
      <c r="Z53" s="125">
        <v>1426224</v>
      </c>
      <c r="AA53" s="125">
        <v>1583289</v>
      </c>
      <c r="AB53" s="125">
        <v>1750329</v>
      </c>
      <c r="AC53" s="116">
        <v>1901279</v>
      </c>
    </row>
    <row r="54" spans="1:29" ht="32" x14ac:dyDescent="0.2">
      <c r="A54" s="116" t="s">
        <v>250</v>
      </c>
      <c r="B54" s="117">
        <v>31798</v>
      </c>
      <c r="C54" s="117">
        <v>51317</v>
      </c>
      <c r="D54" s="117">
        <v>86735</v>
      </c>
      <c r="E54" s="117">
        <v>115914</v>
      </c>
      <c r="F54" s="117">
        <v>137619</v>
      </c>
      <c r="G54" s="117">
        <v>180551</v>
      </c>
      <c r="H54" s="117">
        <v>215757</v>
      </c>
      <c r="I54" s="117">
        <v>256866</v>
      </c>
      <c r="J54" s="117">
        <v>321326</v>
      </c>
      <c r="K54" s="117">
        <v>323788</v>
      </c>
      <c r="L54" s="117">
        <v>354776</v>
      </c>
      <c r="M54" s="118">
        <v>424154</v>
      </c>
      <c r="Q54" s="125" t="s">
        <v>250</v>
      </c>
      <c r="R54" s="125">
        <v>7854</v>
      </c>
      <c r="S54" s="125">
        <v>14546</v>
      </c>
      <c r="T54" s="125">
        <v>21116</v>
      </c>
      <c r="U54" s="125">
        <v>26705</v>
      </c>
      <c r="V54" s="125">
        <v>31363</v>
      </c>
      <c r="W54" s="125">
        <v>42290</v>
      </c>
      <c r="X54" s="125">
        <v>53882</v>
      </c>
      <c r="Y54" s="125">
        <v>59277</v>
      </c>
      <c r="Z54" s="125">
        <v>69623</v>
      </c>
      <c r="AA54" s="125">
        <v>78704</v>
      </c>
      <c r="AB54" s="125">
        <v>86597</v>
      </c>
      <c r="AC54" s="116">
        <v>98087</v>
      </c>
    </row>
    <row r="55" spans="1:29" ht="32" x14ac:dyDescent="0.2">
      <c r="A55" s="119" t="s">
        <v>251</v>
      </c>
      <c r="B55" s="120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2"/>
      <c r="Q55" s="126" t="s">
        <v>251</v>
      </c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19"/>
    </row>
    <row r="56" spans="1:29" ht="32" x14ac:dyDescent="0.2">
      <c r="A56" s="116" t="s">
        <v>252</v>
      </c>
      <c r="B56" s="117">
        <v>6839.96</v>
      </c>
      <c r="C56" s="117">
        <v>11329.13</v>
      </c>
      <c r="D56" s="117">
        <v>22032.81</v>
      </c>
      <c r="E56" s="117">
        <v>25619.33</v>
      </c>
      <c r="F56" s="117">
        <v>30085.49</v>
      </c>
      <c r="G56" s="117">
        <v>40054.160000000003</v>
      </c>
      <c r="H56" s="117">
        <v>51045.32</v>
      </c>
      <c r="I56" s="117">
        <v>55269.71</v>
      </c>
      <c r="J56" s="117">
        <v>77677.88</v>
      </c>
      <c r="K56" s="117">
        <v>82149.33</v>
      </c>
      <c r="L56" s="117">
        <v>85882.22</v>
      </c>
      <c r="M56" s="118">
        <v>93693.54</v>
      </c>
      <c r="Q56" s="125" t="s">
        <v>252</v>
      </c>
      <c r="R56" s="125">
        <v>3169.34</v>
      </c>
      <c r="S56" s="125">
        <v>5174.59</v>
      </c>
      <c r="T56" s="125">
        <v>10210.58</v>
      </c>
      <c r="U56" s="125">
        <v>11229.26</v>
      </c>
      <c r="V56" s="125">
        <v>13611.86</v>
      </c>
      <c r="W56" s="125">
        <v>15736.94</v>
      </c>
      <c r="X56" s="125">
        <v>18199.84</v>
      </c>
      <c r="Y56" s="125">
        <v>20663.04</v>
      </c>
      <c r="Z56" s="125">
        <v>22934.54</v>
      </c>
      <c r="AA56" s="125">
        <v>25494.98</v>
      </c>
      <c r="AB56" s="125">
        <v>28584.07</v>
      </c>
      <c r="AC56" s="116">
        <v>30941.56</v>
      </c>
    </row>
    <row r="57" spans="1:29" ht="32" x14ac:dyDescent="0.2">
      <c r="A57" s="116" t="s">
        <v>253</v>
      </c>
      <c r="B57" s="117">
        <v>17507.400000000001</v>
      </c>
      <c r="C57" s="117">
        <v>34321.019999999997</v>
      </c>
      <c r="D57" s="117">
        <v>51824.86</v>
      </c>
      <c r="E57" s="117">
        <v>72362.25</v>
      </c>
      <c r="F57" s="117">
        <v>90672.46</v>
      </c>
      <c r="G57" s="117">
        <v>125435.51</v>
      </c>
      <c r="H57" s="117">
        <v>120274.29</v>
      </c>
      <c r="I57" s="117">
        <v>135741.26999999999</v>
      </c>
      <c r="J57" s="117">
        <v>154695.51</v>
      </c>
      <c r="K57" s="117">
        <v>174785.02</v>
      </c>
      <c r="L57" s="117">
        <v>191662.76</v>
      </c>
      <c r="M57" s="118">
        <v>214517.27</v>
      </c>
      <c r="Q57" s="125" t="s">
        <v>253</v>
      </c>
      <c r="R57" s="125">
        <v>5562.67</v>
      </c>
      <c r="S57" s="125">
        <v>16179.62</v>
      </c>
      <c r="T57" s="125">
        <v>27233.25</v>
      </c>
      <c r="U57" s="125">
        <v>37618.49</v>
      </c>
      <c r="V57" s="125">
        <v>47466.26</v>
      </c>
      <c r="W57" s="125">
        <v>57963.95</v>
      </c>
      <c r="X57" s="125">
        <v>65448.14</v>
      </c>
      <c r="Y57" s="125">
        <v>73794.55</v>
      </c>
      <c r="Z57" s="125">
        <v>82879.33</v>
      </c>
      <c r="AA57" s="125">
        <v>91285.68</v>
      </c>
      <c r="AB57" s="125">
        <v>103769.91</v>
      </c>
      <c r="AC57" s="116">
        <v>114227.66</v>
      </c>
    </row>
    <row r="58" spans="1:29" ht="16" x14ac:dyDescent="0.2">
      <c r="A58" s="116" t="s">
        <v>254</v>
      </c>
      <c r="B58" s="117">
        <v>44977</v>
      </c>
      <c r="C58" s="117">
        <v>61447</v>
      </c>
      <c r="D58" s="117">
        <v>0</v>
      </c>
      <c r="E58" s="117">
        <v>89723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8">
        <v>0</v>
      </c>
      <c r="Q58" s="125" t="s">
        <v>254</v>
      </c>
      <c r="R58" s="125">
        <v>11162</v>
      </c>
      <c r="S58" s="125">
        <v>18379</v>
      </c>
      <c r="T58" s="125">
        <v>0</v>
      </c>
      <c r="U58" s="125">
        <v>28021</v>
      </c>
      <c r="V58" s="125">
        <v>0</v>
      </c>
      <c r="W58" s="125">
        <v>0</v>
      </c>
      <c r="X58" s="125">
        <v>0</v>
      </c>
      <c r="Y58" s="125">
        <v>0</v>
      </c>
      <c r="Z58" s="125">
        <v>0</v>
      </c>
      <c r="AA58" s="125">
        <v>0</v>
      </c>
      <c r="AB58" s="125">
        <v>0</v>
      </c>
      <c r="AC58" s="116">
        <v>0</v>
      </c>
    </row>
    <row r="59" spans="1:29" ht="16" x14ac:dyDescent="0.2">
      <c r="A59" s="116" t="s">
        <v>255</v>
      </c>
      <c r="B59" s="117">
        <v>12529.35</v>
      </c>
      <c r="C59" s="117">
        <v>24635.25</v>
      </c>
      <c r="D59" s="117">
        <v>36889.360000000001</v>
      </c>
      <c r="E59" s="117">
        <v>51226.400000000001</v>
      </c>
      <c r="F59" s="117">
        <v>66482.78</v>
      </c>
      <c r="G59" s="117">
        <v>83423.570000000007</v>
      </c>
      <c r="H59" s="117">
        <v>101096.94</v>
      </c>
      <c r="I59" s="117">
        <v>122982.12</v>
      </c>
      <c r="J59" s="117">
        <v>144942.91</v>
      </c>
      <c r="K59" s="117">
        <v>168621.92</v>
      </c>
      <c r="L59" s="117">
        <v>185968.56</v>
      </c>
      <c r="M59" s="118">
        <v>209937.26</v>
      </c>
      <c r="Q59" s="125" t="s">
        <v>255</v>
      </c>
      <c r="R59" s="125">
        <v>6020.55</v>
      </c>
      <c r="S59" s="125">
        <v>11435.84</v>
      </c>
      <c r="T59" s="125">
        <v>16895.95</v>
      </c>
      <c r="U59" s="125">
        <v>22140.2</v>
      </c>
      <c r="V59" s="125">
        <v>28039.37</v>
      </c>
      <c r="W59" s="125">
        <v>34615.47</v>
      </c>
      <c r="X59" s="125">
        <v>40738.639999999999</v>
      </c>
      <c r="Y59" s="125">
        <v>48432.5</v>
      </c>
      <c r="Z59" s="125">
        <v>55181.07</v>
      </c>
      <c r="AA59" s="125">
        <v>62332.88</v>
      </c>
      <c r="AB59" s="125">
        <v>67845.759999999995</v>
      </c>
      <c r="AC59" s="116">
        <v>59251.35</v>
      </c>
    </row>
    <row r="60" spans="1:29" ht="32" x14ac:dyDescent="0.2">
      <c r="A60" s="116" t="s">
        <v>256</v>
      </c>
      <c r="B60" s="117">
        <v>404011</v>
      </c>
      <c r="C60" s="117">
        <v>694244</v>
      </c>
      <c r="D60" s="117">
        <v>1043185</v>
      </c>
      <c r="E60" s="117">
        <v>1379770</v>
      </c>
      <c r="F60" s="117">
        <v>1654669</v>
      </c>
      <c r="G60" s="117">
        <v>2029066</v>
      </c>
      <c r="H60" s="117">
        <v>2319924</v>
      </c>
      <c r="I60" s="117">
        <v>2523537</v>
      </c>
      <c r="J60" s="117">
        <v>2803279</v>
      </c>
      <c r="K60" s="117">
        <v>3063394</v>
      </c>
      <c r="L60" s="117">
        <v>3264655</v>
      </c>
      <c r="M60" s="118">
        <v>3682591</v>
      </c>
      <c r="Q60" s="125" t="s">
        <v>256</v>
      </c>
      <c r="R60" s="125">
        <v>119238</v>
      </c>
      <c r="S60" s="125">
        <v>250777</v>
      </c>
      <c r="T60" s="125">
        <v>362027</v>
      </c>
      <c r="U60" s="125">
        <v>499459</v>
      </c>
      <c r="V60" s="125">
        <v>559076</v>
      </c>
      <c r="W60" s="125">
        <v>675071</v>
      </c>
      <c r="X60" s="125">
        <v>766558</v>
      </c>
      <c r="Y60" s="125">
        <v>885628</v>
      </c>
      <c r="Z60" s="125">
        <v>954551</v>
      </c>
      <c r="AA60" s="125">
        <v>1056531</v>
      </c>
      <c r="AB60" s="125">
        <v>1179020</v>
      </c>
      <c r="AC60" s="116">
        <v>1303516</v>
      </c>
    </row>
    <row r="61" spans="1:29" ht="32" x14ac:dyDescent="0.2">
      <c r="A61" s="116" t="s">
        <v>257</v>
      </c>
      <c r="B61" s="117">
        <v>22115</v>
      </c>
      <c r="C61" s="117">
        <v>40912</v>
      </c>
      <c r="D61" s="117">
        <v>63129</v>
      </c>
      <c r="E61" s="117">
        <v>82425</v>
      </c>
      <c r="F61" s="117">
        <v>102940</v>
      </c>
      <c r="G61" s="117">
        <v>124393</v>
      </c>
      <c r="H61" s="117">
        <v>148914</v>
      </c>
      <c r="I61" s="117">
        <v>172643</v>
      </c>
      <c r="J61" s="117">
        <v>200287</v>
      </c>
      <c r="K61" s="117">
        <v>224671</v>
      </c>
      <c r="L61" s="117">
        <v>248962</v>
      </c>
      <c r="M61" s="118">
        <v>290851</v>
      </c>
      <c r="Q61" s="125" t="s">
        <v>257</v>
      </c>
      <c r="R61" s="125">
        <v>10408</v>
      </c>
      <c r="S61" s="125">
        <v>8427</v>
      </c>
      <c r="T61" s="125">
        <v>16836</v>
      </c>
      <c r="U61" s="125">
        <v>25529</v>
      </c>
      <c r="V61" s="125">
        <v>35609</v>
      </c>
      <c r="W61" s="125">
        <v>38995</v>
      </c>
      <c r="X61" s="125">
        <v>59353</v>
      </c>
      <c r="Y61" s="125">
        <v>66212</v>
      </c>
      <c r="Z61" s="125">
        <v>54059</v>
      </c>
      <c r="AA61" s="125">
        <v>61399</v>
      </c>
      <c r="AB61" s="125">
        <v>70802</v>
      </c>
      <c r="AC61" s="116">
        <v>75874</v>
      </c>
    </row>
    <row r="62" spans="1:29" ht="32" x14ac:dyDescent="0.2">
      <c r="A62" s="116" t="s">
        <v>258</v>
      </c>
      <c r="B62" s="117">
        <v>53854</v>
      </c>
      <c r="C62" s="117">
        <v>95270</v>
      </c>
      <c r="D62" s="117">
        <v>129821</v>
      </c>
      <c r="E62" s="117">
        <v>161334</v>
      </c>
      <c r="F62" s="117">
        <v>215103</v>
      </c>
      <c r="G62" s="117">
        <v>257008</v>
      </c>
      <c r="H62" s="117">
        <v>294072</v>
      </c>
      <c r="I62" s="117">
        <v>327597</v>
      </c>
      <c r="J62" s="117">
        <v>361652</v>
      </c>
      <c r="K62" s="117">
        <v>394853</v>
      </c>
      <c r="L62" s="117">
        <v>426358</v>
      </c>
      <c r="M62" s="118">
        <v>450507</v>
      </c>
      <c r="Q62" s="125" t="s">
        <v>258</v>
      </c>
      <c r="R62" s="125">
        <v>14382</v>
      </c>
      <c r="S62" s="125">
        <v>27969</v>
      </c>
      <c r="T62" s="125">
        <v>42800</v>
      </c>
      <c r="U62" s="125">
        <v>161334</v>
      </c>
      <c r="V62" s="125">
        <v>78918</v>
      </c>
      <c r="W62" s="125">
        <v>97577</v>
      </c>
      <c r="X62" s="125">
        <v>115847</v>
      </c>
      <c r="Y62" s="125">
        <v>132655</v>
      </c>
      <c r="Z62" s="125">
        <v>146867</v>
      </c>
      <c r="AA62" s="125">
        <v>161740</v>
      </c>
      <c r="AB62" s="125">
        <v>173615</v>
      </c>
      <c r="AC62" s="116">
        <v>189831</v>
      </c>
    </row>
    <row r="63" spans="1:29" ht="16" x14ac:dyDescent="0.2">
      <c r="A63" s="116" t="s">
        <v>259</v>
      </c>
      <c r="B63" s="117">
        <v>349577.23</v>
      </c>
      <c r="C63" s="117">
        <v>613986.93000000005</v>
      </c>
      <c r="D63" s="117">
        <v>1196852.52</v>
      </c>
      <c r="E63" s="117">
        <v>1595850.86</v>
      </c>
      <c r="F63" s="117">
        <v>1983152.58</v>
      </c>
      <c r="G63" s="117">
        <v>2328823.21</v>
      </c>
      <c r="H63" s="117">
        <v>2659577.7799999998</v>
      </c>
      <c r="I63" s="117">
        <v>3021533.94</v>
      </c>
      <c r="J63" s="117">
        <v>3386360.08</v>
      </c>
      <c r="K63" s="117">
        <v>3719757.83</v>
      </c>
      <c r="L63" s="117">
        <v>4224304.7300000004</v>
      </c>
      <c r="M63" s="118">
        <v>5134533.0999999996</v>
      </c>
      <c r="Q63" s="125" t="s">
        <v>259</v>
      </c>
      <c r="R63" s="125">
        <v>84604.02</v>
      </c>
      <c r="S63" s="125">
        <v>147551.63</v>
      </c>
      <c r="T63" s="125">
        <v>233885.09</v>
      </c>
      <c r="U63" s="125">
        <v>298691.09000000003</v>
      </c>
      <c r="V63" s="125">
        <v>379490.42</v>
      </c>
      <c r="W63" s="125">
        <v>469483.33</v>
      </c>
      <c r="X63" s="125">
        <v>551525.27</v>
      </c>
      <c r="Y63" s="125">
        <v>634817.48</v>
      </c>
      <c r="Z63" s="125">
        <v>696188.04</v>
      </c>
      <c r="AA63" s="125">
        <v>754238.57</v>
      </c>
      <c r="AB63" s="125">
        <v>870675.81</v>
      </c>
      <c r="AC63" s="116">
        <v>984409.34</v>
      </c>
    </row>
    <row r="64" spans="1:29" ht="16" x14ac:dyDescent="0.2">
      <c r="A64" s="116" t="s">
        <v>260</v>
      </c>
      <c r="B64" s="117">
        <v>86172</v>
      </c>
      <c r="C64" s="117">
        <v>168440</v>
      </c>
      <c r="D64" s="117">
        <v>312541</v>
      </c>
      <c r="E64" s="117">
        <v>430681</v>
      </c>
      <c r="F64" s="117">
        <v>543838</v>
      </c>
      <c r="G64" s="117">
        <v>636757</v>
      </c>
      <c r="H64" s="117">
        <v>731201</v>
      </c>
      <c r="I64" s="117">
        <v>818942</v>
      </c>
      <c r="J64" s="117">
        <v>938246</v>
      </c>
      <c r="K64" s="117">
        <v>1042680</v>
      </c>
      <c r="L64" s="117">
        <v>1146346</v>
      </c>
      <c r="M64" s="118">
        <v>1267504</v>
      </c>
      <c r="Q64" s="125" t="s">
        <v>260</v>
      </c>
      <c r="R64" s="125">
        <v>56138</v>
      </c>
      <c r="S64" s="125">
        <v>106019</v>
      </c>
      <c r="T64" s="125">
        <v>178539</v>
      </c>
      <c r="U64" s="125">
        <v>220815</v>
      </c>
      <c r="V64" s="125">
        <v>269706</v>
      </c>
      <c r="W64" s="125">
        <v>312429</v>
      </c>
      <c r="X64" s="125">
        <v>349750</v>
      </c>
      <c r="Y64" s="125">
        <v>410461</v>
      </c>
      <c r="Z64" s="125">
        <v>433115</v>
      </c>
      <c r="AA64" s="125">
        <v>455233</v>
      </c>
      <c r="AB64" s="125">
        <v>503273</v>
      </c>
      <c r="AC64" s="116">
        <v>553501</v>
      </c>
    </row>
    <row r="65" spans="1:29" ht="32" x14ac:dyDescent="0.2">
      <c r="A65" s="116" t="s">
        <v>261</v>
      </c>
      <c r="B65" s="117">
        <v>100664</v>
      </c>
      <c r="C65" s="117">
        <v>199726</v>
      </c>
      <c r="D65" s="117">
        <v>343435</v>
      </c>
      <c r="E65" s="117">
        <v>472250</v>
      </c>
      <c r="F65" s="117">
        <v>502289</v>
      </c>
      <c r="G65" s="117">
        <v>569544</v>
      </c>
      <c r="H65" s="117">
        <v>602060</v>
      </c>
      <c r="I65" s="117">
        <v>647808</v>
      </c>
      <c r="J65" s="117">
        <v>704619</v>
      </c>
      <c r="K65" s="117">
        <v>751788</v>
      </c>
      <c r="L65" s="117">
        <v>880400</v>
      </c>
      <c r="M65" s="118">
        <v>1034009</v>
      </c>
      <c r="Q65" s="125" t="s">
        <v>261</v>
      </c>
      <c r="R65" s="125">
        <v>98167</v>
      </c>
      <c r="S65" s="125">
        <v>20994</v>
      </c>
      <c r="T65" s="125">
        <v>52605</v>
      </c>
      <c r="U65" s="125">
        <v>64824</v>
      </c>
      <c r="V65" s="125">
        <v>24506</v>
      </c>
      <c r="W65" s="125">
        <v>31917</v>
      </c>
      <c r="X65" s="125">
        <v>17667</v>
      </c>
      <c r="Y65" s="125">
        <v>32777</v>
      </c>
      <c r="Z65" s="125">
        <v>36978</v>
      </c>
      <c r="AA65" s="125">
        <v>36445</v>
      </c>
      <c r="AB65" s="125">
        <v>51866</v>
      </c>
      <c r="AC65" s="116">
        <v>62549</v>
      </c>
    </row>
    <row r="66" spans="1:29" ht="32" x14ac:dyDescent="0.2">
      <c r="A66" s="116" t="s">
        <v>262</v>
      </c>
      <c r="B66" s="117">
        <v>40382.26</v>
      </c>
      <c r="C66" s="117">
        <v>89515.02</v>
      </c>
      <c r="D66" s="117">
        <v>178293.18</v>
      </c>
      <c r="E66" s="117">
        <v>484388.04</v>
      </c>
      <c r="F66" s="117">
        <v>633076.91</v>
      </c>
      <c r="G66" s="117">
        <v>860176.53</v>
      </c>
      <c r="H66" s="117">
        <v>1113306.49</v>
      </c>
      <c r="I66" s="117">
        <v>1170727.8700000001</v>
      </c>
      <c r="J66" s="117">
        <v>1208386.94</v>
      </c>
      <c r="K66" s="117">
        <v>1238071.5900000001</v>
      </c>
      <c r="L66" s="117">
        <v>1318045.43</v>
      </c>
      <c r="M66" s="118">
        <v>1388020.55</v>
      </c>
      <c r="Q66" s="125" t="s">
        <v>262</v>
      </c>
      <c r="R66" s="125">
        <v>12887.5</v>
      </c>
      <c r="S66" s="125">
        <v>24316.6</v>
      </c>
      <c r="T66" s="125">
        <v>39489.360000000001</v>
      </c>
      <c r="U66" s="125">
        <v>55144.76</v>
      </c>
      <c r="V66" s="125">
        <v>69954.84</v>
      </c>
      <c r="W66" s="125">
        <v>85191.63</v>
      </c>
      <c r="X66" s="125">
        <v>98484.39</v>
      </c>
      <c r="Y66" s="125">
        <v>109919.29</v>
      </c>
      <c r="Z66" s="125">
        <v>123769.77</v>
      </c>
      <c r="AA66" s="125">
        <v>133360.29</v>
      </c>
      <c r="AB66" s="125">
        <v>148169.51999999999</v>
      </c>
      <c r="AC66" s="116">
        <v>164791.4</v>
      </c>
    </row>
    <row r="67" spans="1:29" ht="32" x14ac:dyDescent="0.2">
      <c r="A67" s="116" t="s">
        <v>263</v>
      </c>
      <c r="B67" s="117">
        <v>18856</v>
      </c>
      <c r="C67" s="117">
        <v>33837</v>
      </c>
      <c r="D67" s="117">
        <v>58923</v>
      </c>
      <c r="E67" s="117">
        <v>85847</v>
      </c>
      <c r="F67" s="117">
        <v>113549</v>
      </c>
      <c r="G67" s="117">
        <v>145584</v>
      </c>
      <c r="H67" s="117">
        <v>180433</v>
      </c>
      <c r="I67" s="117">
        <v>219098</v>
      </c>
      <c r="J67" s="117">
        <v>248306</v>
      </c>
      <c r="K67" s="117"/>
      <c r="L67" s="117">
        <v>253462</v>
      </c>
      <c r="M67" s="118">
        <v>361280</v>
      </c>
      <c r="Q67" s="125" t="s">
        <v>263</v>
      </c>
      <c r="R67" s="125">
        <v>1585</v>
      </c>
      <c r="S67" s="125">
        <v>1037</v>
      </c>
      <c r="T67" s="125">
        <v>-4933</v>
      </c>
      <c r="U67" s="125">
        <v>-4882</v>
      </c>
      <c r="V67" s="125">
        <v>-5517</v>
      </c>
      <c r="W67" s="125">
        <v>946</v>
      </c>
      <c r="X67" s="125">
        <v>9103</v>
      </c>
      <c r="Y67" s="125">
        <v>26866</v>
      </c>
      <c r="Z67" s="125">
        <v>32001</v>
      </c>
      <c r="AA67" s="125">
        <v>0</v>
      </c>
      <c r="AB67" s="125">
        <v>28664</v>
      </c>
      <c r="AC67" s="116">
        <v>49399</v>
      </c>
    </row>
    <row r="68" spans="1:29" ht="32" x14ac:dyDescent="0.2">
      <c r="A68" s="116" t="s">
        <v>264</v>
      </c>
      <c r="B68" s="117">
        <v>41998</v>
      </c>
      <c r="C68" s="117">
        <v>84110</v>
      </c>
      <c r="D68" s="117">
        <v>124831</v>
      </c>
      <c r="E68" s="117">
        <v>155891</v>
      </c>
      <c r="F68" s="117">
        <v>190429</v>
      </c>
      <c r="G68" s="117">
        <v>228867</v>
      </c>
      <c r="H68" s="117">
        <v>267503</v>
      </c>
      <c r="I68" s="117">
        <v>305936</v>
      </c>
      <c r="J68" s="117">
        <v>342257</v>
      </c>
      <c r="K68" s="117">
        <v>382520</v>
      </c>
      <c r="L68" s="117">
        <v>427825</v>
      </c>
      <c r="M68" s="118">
        <v>498236</v>
      </c>
      <c r="Q68" s="125" t="s">
        <v>264</v>
      </c>
      <c r="R68" s="125">
        <v>26136</v>
      </c>
      <c r="S68" s="125">
        <v>48580</v>
      </c>
      <c r="T68" s="125">
        <v>75555</v>
      </c>
      <c r="U68" s="125">
        <v>102436</v>
      </c>
      <c r="V68" s="125">
        <v>129054</v>
      </c>
      <c r="W68" s="125">
        <v>154769</v>
      </c>
      <c r="X68" s="125">
        <v>190828</v>
      </c>
      <c r="Y68" s="125">
        <v>207799</v>
      </c>
      <c r="Z68" s="125">
        <v>233828</v>
      </c>
      <c r="AA68" s="125">
        <v>260779</v>
      </c>
      <c r="AB68" s="125">
        <v>288210</v>
      </c>
      <c r="AC68" s="116">
        <v>310947</v>
      </c>
    </row>
    <row r="69" spans="1:29" ht="16" x14ac:dyDescent="0.2">
      <c r="A69" s="116" t="s">
        <v>265</v>
      </c>
      <c r="B69" s="117">
        <v>139411</v>
      </c>
      <c r="C69" s="117">
        <v>289445</v>
      </c>
      <c r="D69" s="117">
        <v>318602</v>
      </c>
      <c r="E69" s="117">
        <v>443340</v>
      </c>
      <c r="F69" s="117">
        <v>461466</v>
      </c>
      <c r="G69" s="117">
        <v>490337</v>
      </c>
      <c r="H69" s="117">
        <v>512293</v>
      </c>
      <c r="I69" s="117">
        <v>564989</v>
      </c>
      <c r="J69" s="117">
        <v>624169</v>
      </c>
      <c r="K69" s="117">
        <v>711419</v>
      </c>
      <c r="L69" s="117">
        <v>737715</v>
      </c>
      <c r="M69" s="118">
        <v>759838</v>
      </c>
      <c r="Q69" s="125" t="s">
        <v>265</v>
      </c>
      <c r="R69" s="125">
        <v>-2340</v>
      </c>
      <c r="S69" s="125">
        <v>2958</v>
      </c>
      <c r="T69" s="125">
        <v>12033</v>
      </c>
      <c r="U69" s="125">
        <v>17966</v>
      </c>
      <c r="V69" s="125">
        <v>61457</v>
      </c>
      <c r="W69" s="125">
        <v>72428</v>
      </c>
      <c r="X69" s="125">
        <v>78223</v>
      </c>
      <c r="Y69" s="125">
        <v>95296</v>
      </c>
      <c r="Z69" s="125">
        <v>101934</v>
      </c>
      <c r="AA69" s="125">
        <v>113060</v>
      </c>
      <c r="AB69" s="125">
        <v>111720</v>
      </c>
      <c r="AC69" s="116">
        <v>125256</v>
      </c>
    </row>
    <row r="70" spans="1:29" ht="32" x14ac:dyDescent="0.2">
      <c r="A70" s="116" t="s">
        <v>266</v>
      </c>
      <c r="B70" s="117">
        <v>333685</v>
      </c>
      <c r="C70" s="117">
        <v>654779</v>
      </c>
      <c r="D70" s="117">
        <v>781033</v>
      </c>
      <c r="E70" s="117">
        <v>811695</v>
      </c>
      <c r="F70" s="117">
        <v>830099</v>
      </c>
      <c r="G70" s="117">
        <v>852379</v>
      </c>
      <c r="H70" s="117">
        <v>894008</v>
      </c>
      <c r="I70" s="117">
        <v>913653</v>
      </c>
      <c r="J70" s="117">
        <v>943412</v>
      </c>
      <c r="K70" s="117">
        <v>959915</v>
      </c>
      <c r="L70" s="117">
        <v>976680</v>
      </c>
      <c r="M70" s="118">
        <v>1011649</v>
      </c>
      <c r="Q70" s="125" t="s">
        <v>266</v>
      </c>
      <c r="R70" s="125">
        <v>7850</v>
      </c>
      <c r="S70" s="125">
        <v>16932</v>
      </c>
      <c r="T70" s="125">
        <v>27033</v>
      </c>
      <c r="U70" s="125">
        <v>31496</v>
      </c>
      <c r="V70" s="125">
        <v>38150</v>
      </c>
      <c r="W70" s="125">
        <v>50383</v>
      </c>
      <c r="X70" s="125">
        <v>54924</v>
      </c>
      <c r="Y70" s="125">
        <v>53524</v>
      </c>
      <c r="Z70" s="125">
        <v>61922</v>
      </c>
      <c r="AA70" s="125">
        <v>77812</v>
      </c>
      <c r="AB70" s="125">
        <v>78376</v>
      </c>
      <c r="AC70" s="116">
        <v>54319</v>
      </c>
    </row>
    <row r="71" spans="1:29" ht="32" x14ac:dyDescent="0.2">
      <c r="A71" s="116" t="s">
        <v>267</v>
      </c>
      <c r="B71" s="117">
        <v>86796</v>
      </c>
      <c r="C71" s="117">
        <v>161095</v>
      </c>
      <c r="D71" s="117">
        <v>281984</v>
      </c>
      <c r="E71" s="117">
        <v>554998</v>
      </c>
      <c r="F71" s="117">
        <v>633841</v>
      </c>
      <c r="G71" s="117">
        <v>726894</v>
      </c>
      <c r="H71" s="117">
        <v>815057</v>
      </c>
      <c r="I71" s="117">
        <v>888475</v>
      </c>
      <c r="J71" s="117">
        <v>974405</v>
      </c>
      <c r="K71" s="117">
        <v>1063345</v>
      </c>
      <c r="L71" s="117">
        <v>1162655</v>
      </c>
      <c r="M71" s="118">
        <v>1384005</v>
      </c>
      <c r="Q71" s="125" t="s">
        <v>267</v>
      </c>
      <c r="R71" s="125">
        <v>38022</v>
      </c>
      <c r="S71" s="125">
        <v>61650</v>
      </c>
      <c r="T71" s="125">
        <v>101208</v>
      </c>
      <c r="U71" s="125">
        <v>137873</v>
      </c>
      <c r="V71" s="125">
        <v>178263</v>
      </c>
      <c r="W71" s="125">
        <v>215014</v>
      </c>
      <c r="X71" s="125">
        <v>258872</v>
      </c>
      <c r="Y71" s="125">
        <v>280866</v>
      </c>
      <c r="Z71" s="125">
        <v>308260</v>
      </c>
      <c r="AA71" s="125">
        <v>363528</v>
      </c>
      <c r="AB71" s="125">
        <v>411755</v>
      </c>
      <c r="AC71" s="116">
        <v>456405</v>
      </c>
    </row>
    <row r="72" spans="1:29" ht="32" x14ac:dyDescent="0.2">
      <c r="A72" s="116" t="s">
        <v>268</v>
      </c>
      <c r="B72" s="117">
        <v>28987</v>
      </c>
      <c r="C72" s="117">
        <v>40775</v>
      </c>
      <c r="D72" s="117">
        <v>51245</v>
      </c>
      <c r="E72" s="117">
        <v>88838</v>
      </c>
      <c r="F72" s="117">
        <v>99810</v>
      </c>
      <c r="G72" s="117">
        <v>113530</v>
      </c>
      <c r="H72" s="117">
        <v>126283</v>
      </c>
      <c r="I72" s="117">
        <v>136403</v>
      </c>
      <c r="J72" s="117">
        <v>150181</v>
      </c>
      <c r="K72" s="117">
        <v>160477</v>
      </c>
      <c r="L72" s="117">
        <v>170874</v>
      </c>
      <c r="M72" s="118">
        <v>344555</v>
      </c>
      <c r="Q72" s="125" t="s">
        <v>268</v>
      </c>
      <c r="R72" s="125">
        <v>6201</v>
      </c>
      <c r="S72" s="125">
        <v>10036</v>
      </c>
      <c r="T72" s="125">
        <v>15783</v>
      </c>
      <c r="U72" s="125">
        <v>18152</v>
      </c>
      <c r="V72" s="125">
        <v>22543</v>
      </c>
      <c r="W72" s="125">
        <v>27571</v>
      </c>
      <c r="X72" s="125">
        <v>34003</v>
      </c>
      <c r="Y72" s="125">
        <v>40759</v>
      </c>
      <c r="Z72" s="125">
        <v>46458</v>
      </c>
      <c r="AA72" s="125">
        <v>53426</v>
      </c>
      <c r="AB72" s="125">
        <v>60984</v>
      </c>
      <c r="AC72" s="116">
        <v>71974</v>
      </c>
    </row>
    <row r="73" spans="1:29" ht="32" x14ac:dyDescent="0.2">
      <c r="A73" s="116" t="s">
        <v>269</v>
      </c>
      <c r="B73" s="117">
        <v>277987</v>
      </c>
      <c r="C73" s="117">
        <v>643667</v>
      </c>
      <c r="D73" s="117">
        <v>1046779</v>
      </c>
      <c r="E73" s="117">
        <v>1370890</v>
      </c>
      <c r="F73" s="117">
        <v>1761445</v>
      </c>
      <c r="G73" s="117">
        <v>2069820</v>
      </c>
      <c r="H73" s="117">
        <v>2461393</v>
      </c>
      <c r="I73" s="117">
        <v>2787938</v>
      </c>
      <c r="J73" s="117">
        <v>3032118</v>
      </c>
      <c r="K73" s="117">
        <v>3449716</v>
      </c>
      <c r="L73" s="117">
        <v>3758250</v>
      </c>
      <c r="M73" s="118">
        <v>4360663</v>
      </c>
      <c r="Q73" s="125" t="s">
        <v>269</v>
      </c>
      <c r="R73" s="125">
        <v>-40860</v>
      </c>
      <c r="S73" s="125">
        <v>80199</v>
      </c>
      <c r="T73" s="125">
        <v>222858</v>
      </c>
      <c r="U73" s="125">
        <v>423121</v>
      </c>
      <c r="V73" s="125">
        <v>495172</v>
      </c>
      <c r="W73" s="125">
        <v>540825</v>
      </c>
      <c r="X73" s="125">
        <v>869580</v>
      </c>
      <c r="Y73" s="125">
        <v>881142</v>
      </c>
      <c r="Z73" s="125">
        <v>838806</v>
      </c>
      <c r="AA73" s="125">
        <v>949865</v>
      </c>
      <c r="AB73" s="125">
        <v>896368</v>
      </c>
      <c r="AC73" s="116">
        <v>1282705</v>
      </c>
    </row>
    <row r="74" spans="1:29" ht="32" x14ac:dyDescent="0.2">
      <c r="A74" s="119" t="s">
        <v>270</v>
      </c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2"/>
      <c r="Q74" s="126" t="s">
        <v>270</v>
      </c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19"/>
    </row>
    <row r="75" spans="1:29" ht="32" x14ac:dyDescent="0.2">
      <c r="A75" s="116" t="s">
        <v>271</v>
      </c>
      <c r="B75" s="117">
        <v>277747</v>
      </c>
      <c r="C75" s="117">
        <v>432351</v>
      </c>
      <c r="D75" s="117">
        <v>729565</v>
      </c>
      <c r="E75" s="117">
        <v>1071140</v>
      </c>
      <c r="F75" s="117">
        <v>1290448</v>
      </c>
      <c r="G75" s="117">
        <v>2361524</v>
      </c>
      <c r="H75" s="117">
        <v>2562673</v>
      </c>
      <c r="I75" s="117">
        <v>2716032</v>
      </c>
      <c r="J75" s="117">
        <v>2897624</v>
      </c>
      <c r="K75" s="117">
        <v>3164815</v>
      </c>
      <c r="L75" s="117">
        <v>3323979</v>
      </c>
      <c r="M75" s="118">
        <v>4010953</v>
      </c>
      <c r="Q75" s="125" t="s">
        <v>271</v>
      </c>
      <c r="R75" s="125">
        <v>31970</v>
      </c>
      <c r="S75" s="125">
        <v>92605</v>
      </c>
      <c r="T75" s="125">
        <v>118604</v>
      </c>
      <c r="U75" s="125">
        <v>136323</v>
      </c>
      <c r="V75" s="125">
        <v>148117</v>
      </c>
      <c r="W75" s="125">
        <v>252027</v>
      </c>
      <c r="X75" s="125">
        <v>260611</v>
      </c>
      <c r="Y75" s="125">
        <v>285219</v>
      </c>
      <c r="Z75" s="125">
        <v>299423</v>
      </c>
      <c r="AA75" s="125">
        <v>317283</v>
      </c>
      <c r="AB75" s="125">
        <v>310126</v>
      </c>
      <c r="AC75" s="116">
        <v>429506</v>
      </c>
    </row>
    <row r="76" spans="1:29" ht="16" x14ac:dyDescent="0.2">
      <c r="A76" s="116" t="s">
        <v>272</v>
      </c>
      <c r="B76" s="117">
        <v>125268</v>
      </c>
      <c r="C76" s="117">
        <v>223973</v>
      </c>
      <c r="D76" s="117">
        <v>365333</v>
      </c>
      <c r="E76" s="117">
        <v>451133</v>
      </c>
      <c r="F76" s="117">
        <v>546272</v>
      </c>
      <c r="G76" s="117">
        <v>626965</v>
      </c>
      <c r="H76" s="117">
        <v>717530</v>
      </c>
      <c r="I76" s="117">
        <v>796145</v>
      </c>
      <c r="J76" s="117">
        <v>872759</v>
      </c>
      <c r="K76" s="117">
        <v>951233</v>
      </c>
      <c r="L76" s="117">
        <v>1035655</v>
      </c>
      <c r="M76" s="118">
        <v>1162359</v>
      </c>
      <c r="Q76" s="125" t="s">
        <v>272</v>
      </c>
      <c r="R76" s="125">
        <v>14698</v>
      </c>
      <c r="S76" s="125">
        <v>29791</v>
      </c>
      <c r="T76" s="125">
        <v>45145</v>
      </c>
      <c r="U76" s="125">
        <v>60846</v>
      </c>
      <c r="V76" s="125">
        <v>78249</v>
      </c>
      <c r="W76" s="125">
        <v>92779</v>
      </c>
      <c r="X76" s="125">
        <v>106651</v>
      </c>
      <c r="Y76" s="125">
        <v>120899</v>
      </c>
      <c r="Z76" s="125">
        <v>137036</v>
      </c>
      <c r="AA76" s="125">
        <v>153969</v>
      </c>
      <c r="AB76" s="125">
        <v>172705</v>
      </c>
      <c r="AC76" s="116">
        <v>186623</v>
      </c>
    </row>
    <row r="77" spans="1:29" ht="32" x14ac:dyDescent="0.2">
      <c r="A77" s="116" t="s">
        <v>273</v>
      </c>
      <c r="B77" s="117">
        <v>62285</v>
      </c>
      <c r="C77" s="117">
        <v>123814</v>
      </c>
      <c r="D77" s="117">
        <v>196521</v>
      </c>
      <c r="E77" s="117">
        <v>266800</v>
      </c>
      <c r="F77" s="117">
        <v>33716</v>
      </c>
      <c r="G77" s="117">
        <v>407589</v>
      </c>
      <c r="H77" s="117">
        <v>486224</v>
      </c>
      <c r="I77" s="117">
        <v>565070</v>
      </c>
      <c r="J77" s="117">
        <v>643778</v>
      </c>
      <c r="K77" s="117">
        <v>732700</v>
      </c>
      <c r="L77" s="117">
        <v>833877</v>
      </c>
      <c r="M77" s="118">
        <v>958843</v>
      </c>
      <c r="Q77" s="125" t="s">
        <v>273</v>
      </c>
      <c r="R77" s="125">
        <v>62738</v>
      </c>
      <c r="S77" s="125">
        <v>113401</v>
      </c>
      <c r="T77" s="125">
        <v>16923</v>
      </c>
      <c r="U77" s="125">
        <v>219456</v>
      </c>
      <c r="V77" s="125">
        <v>268290</v>
      </c>
      <c r="W77" s="125">
        <v>338569</v>
      </c>
      <c r="X77" s="125">
        <v>389718</v>
      </c>
      <c r="Y77" s="125">
        <v>444248</v>
      </c>
      <c r="Z77" s="125">
        <v>497898</v>
      </c>
      <c r="AA77" s="125">
        <v>552689</v>
      </c>
      <c r="AB77" s="125">
        <v>607843</v>
      </c>
      <c r="AC77" s="116">
        <v>702721</v>
      </c>
    </row>
    <row r="78" spans="1:29" ht="32" x14ac:dyDescent="0.2">
      <c r="A78" s="116" t="s">
        <v>274</v>
      </c>
      <c r="B78" s="117">
        <v>39353</v>
      </c>
      <c r="C78" s="117">
        <v>260213</v>
      </c>
      <c r="D78" s="117">
        <v>378596</v>
      </c>
      <c r="E78" s="117">
        <v>416828</v>
      </c>
      <c r="F78" s="117">
        <v>724851</v>
      </c>
      <c r="G78" s="117">
        <v>740256</v>
      </c>
      <c r="H78" s="117">
        <v>798626</v>
      </c>
      <c r="I78" s="117">
        <v>1020870</v>
      </c>
      <c r="J78" s="117">
        <v>1407147</v>
      </c>
      <c r="K78" s="117">
        <v>1425614</v>
      </c>
      <c r="L78" s="117">
        <v>1403688</v>
      </c>
      <c r="M78" s="118">
        <v>1423637</v>
      </c>
      <c r="Q78" s="125" t="s">
        <v>274</v>
      </c>
      <c r="R78" s="125">
        <v>4769</v>
      </c>
      <c r="S78" s="125">
        <v>14749</v>
      </c>
      <c r="T78" s="125">
        <v>27471</v>
      </c>
      <c r="U78" s="125">
        <v>33466</v>
      </c>
      <c r="V78" s="125">
        <v>39963</v>
      </c>
      <c r="W78" s="125">
        <v>46454</v>
      </c>
      <c r="X78" s="125">
        <v>43754</v>
      </c>
      <c r="Y78" s="125">
        <v>34295</v>
      </c>
      <c r="Z78" s="125">
        <v>31742</v>
      </c>
      <c r="AA78" s="125">
        <v>31157</v>
      </c>
      <c r="AB78" s="125">
        <v>40555</v>
      </c>
      <c r="AC78" s="116">
        <v>20125</v>
      </c>
    </row>
    <row r="79" spans="1:29" ht="16" x14ac:dyDescent="0.2">
      <c r="A79" s="116" t="s">
        <v>275</v>
      </c>
      <c r="B79" s="117">
        <v>17108</v>
      </c>
      <c r="C79" s="117">
        <v>33660</v>
      </c>
      <c r="D79" s="117">
        <v>55645</v>
      </c>
      <c r="E79" s="117">
        <v>68094</v>
      </c>
      <c r="F79" s="117">
        <v>86756</v>
      </c>
      <c r="G79" s="117">
        <v>99418</v>
      </c>
      <c r="H79" s="117">
        <v>119964</v>
      </c>
      <c r="I79" s="117">
        <v>134761</v>
      </c>
      <c r="J79" s="117">
        <v>151517</v>
      </c>
      <c r="K79" s="117">
        <v>173771</v>
      </c>
      <c r="L79" s="117">
        <v>192844</v>
      </c>
      <c r="M79" s="118">
        <v>211464</v>
      </c>
      <c r="Q79" s="125" t="s">
        <v>275</v>
      </c>
      <c r="R79" s="125">
        <v>7251</v>
      </c>
      <c r="S79" s="125">
        <v>15538</v>
      </c>
      <c r="T79" s="125">
        <v>24048</v>
      </c>
      <c r="U79" s="125">
        <v>33018</v>
      </c>
      <c r="V79" s="125">
        <v>42470</v>
      </c>
      <c r="W79" s="125">
        <v>50794</v>
      </c>
      <c r="X79" s="125">
        <v>58438</v>
      </c>
      <c r="Y79" s="125">
        <v>64493</v>
      </c>
      <c r="Z79" s="125">
        <v>72291</v>
      </c>
      <c r="AA79" s="125">
        <v>81120</v>
      </c>
      <c r="AB79" s="125">
        <v>90378</v>
      </c>
      <c r="AC79" s="116">
        <v>103609</v>
      </c>
    </row>
    <row r="80" spans="1:29" ht="32" x14ac:dyDescent="0.2">
      <c r="A80" s="116" t="s">
        <v>276</v>
      </c>
      <c r="B80" s="117">
        <v>72713</v>
      </c>
      <c r="C80" s="117">
        <v>134470</v>
      </c>
      <c r="D80" s="117">
        <v>212944</v>
      </c>
      <c r="E80" s="117">
        <v>269519</v>
      </c>
      <c r="F80" s="117">
        <v>335384</v>
      </c>
      <c r="G80" s="117">
        <v>402067</v>
      </c>
      <c r="H80" s="117">
        <v>474046</v>
      </c>
      <c r="I80" s="117">
        <v>530836</v>
      </c>
      <c r="J80" s="117">
        <v>600221</v>
      </c>
      <c r="K80" s="117">
        <v>680015</v>
      </c>
      <c r="L80" s="117">
        <v>738473</v>
      </c>
      <c r="M80" s="118">
        <v>831876</v>
      </c>
      <c r="Q80" s="125" t="s">
        <v>276</v>
      </c>
      <c r="R80" s="125">
        <v>23720</v>
      </c>
      <c r="S80" s="125">
        <v>45220</v>
      </c>
      <c r="T80" s="125">
        <v>76233</v>
      </c>
      <c r="U80" s="125">
        <v>105720</v>
      </c>
      <c r="V80" s="125">
        <v>133743</v>
      </c>
      <c r="W80" s="125">
        <v>153640</v>
      </c>
      <c r="X80" s="125">
        <v>187864</v>
      </c>
      <c r="Y80" s="125">
        <v>208540</v>
      </c>
      <c r="Z80" s="125">
        <v>222206</v>
      </c>
      <c r="AA80" s="125">
        <v>249779</v>
      </c>
      <c r="AB80" s="125">
        <v>273054</v>
      </c>
      <c r="AC80" s="116">
        <v>292883</v>
      </c>
    </row>
    <row r="81" spans="1:29" ht="32" x14ac:dyDescent="0.2">
      <c r="A81" s="116" t="s">
        <v>277</v>
      </c>
      <c r="B81" s="117">
        <v>10490</v>
      </c>
      <c r="C81" s="117">
        <v>18016</v>
      </c>
      <c r="D81" s="117">
        <v>27507</v>
      </c>
      <c r="E81" s="117">
        <v>34079</v>
      </c>
      <c r="F81" s="117">
        <v>44336</v>
      </c>
      <c r="G81" s="117">
        <v>53017</v>
      </c>
      <c r="H81" s="117">
        <v>64242</v>
      </c>
      <c r="I81" s="117">
        <v>74443</v>
      </c>
      <c r="J81" s="117">
        <v>92427</v>
      </c>
      <c r="K81" s="117">
        <v>102454</v>
      </c>
      <c r="L81" s="117">
        <v>113282</v>
      </c>
      <c r="M81" s="118">
        <v>135076</v>
      </c>
      <c r="Q81" s="125" t="s">
        <v>277</v>
      </c>
      <c r="R81" s="125">
        <v>3432</v>
      </c>
      <c r="S81" s="125">
        <v>6641</v>
      </c>
      <c r="T81" s="125">
        <v>9642</v>
      </c>
      <c r="U81" s="125">
        <v>12261</v>
      </c>
      <c r="V81" s="125">
        <v>15906</v>
      </c>
      <c r="W81" s="125">
        <v>18540</v>
      </c>
      <c r="X81" s="125">
        <v>21084</v>
      </c>
      <c r="Y81" s="125">
        <v>23047</v>
      </c>
      <c r="Z81" s="125">
        <v>25245</v>
      </c>
      <c r="AA81" s="125">
        <v>29234</v>
      </c>
      <c r="AB81" s="125">
        <v>28945</v>
      </c>
      <c r="AC81" s="116">
        <v>31734</v>
      </c>
    </row>
    <row r="82" spans="1:29" ht="32" x14ac:dyDescent="0.2">
      <c r="A82" s="116" t="s">
        <v>278</v>
      </c>
      <c r="B82" s="117">
        <v>87576.639999999999</v>
      </c>
      <c r="C82" s="117">
        <v>147816.72</v>
      </c>
      <c r="D82" s="117">
        <v>186616.91</v>
      </c>
      <c r="E82" s="117">
        <v>228172.13</v>
      </c>
      <c r="F82" s="117">
        <v>262916.46999999997</v>
      </c>
      <c r="G82" s="117">
        <v>315474.90000000002</v>
      </c>
      <c r="H82" s="117">
        <v>346909.91</v>
      </c>
      <c r="I82" s="117">
        <v>385534.35</v>
      </c>
      <c r="J82" s="117">
        <v>413214.3</v>
      </c>
      <c r="K82" s="117">
        <v>437428.56</v>
      </c>
      <c r="L82" s="117">
        <v>454335.2</v>
      </c>
      <c r="M82" s="118">
        <v>485004</v>
      </c>
      <c r="Q82" s="125" t="s">
        <v>278</v>
      </c>
      <c r="R82" s="125">
        <v>5289.75</v>
      </c>
      <c r="S82" s="125">
        <v>-10324.34</v>
      </c>
      <c r="T82" s="125">
        <v>-11259.35</v>
      </c>
      <c r="U82" s="125">
        <v>5400.79</v>
      </c>
      <c r="V82" s="125">
        <v>16059.59</v>
      </c>
      <c r="W82" s="125">
        <v>56941.8</v>
      </c>
      <c r="X82" s="125">
        <v>52542.37</v>
      </c>
      <c r="Y82" s="125">
        <v>53338.21</v>
      </c>
      <c r="Z82" s="125">
        <v>101710.13</v>
      </c>
      <c r="AA82" s="125">
        <v>112671.95</v>
      </c>
      <c r="AB82" s="125">
        <v>131106.20000000001</v>
      </c>
      <c r="AC82" s="116">
        <v>140500</v>
      </c>
    </row>
    <row r="83" spans="1:29" ht="32" x14ac:dyDescent="0.2">
      <c r="A83" s="116" t="s">
        <v>279</v>
      </c>
      <c r="B83" s="117">
        <v>20288</v>
      </c>
      <c r="C83" s="117">
        <v>64863</v>
      </c>
      <c r="D83" s="117">
        <v>110668</v>
      </c>
      <c r="E83" s="117">
        <v>162498</v>
      </c>
      <c r="F83" s="117">
        <v>202667</v>
      </c>
      <c r="G83" s="117">
        <v>250306</v>
      </c>
      <c r="H83" s="117">
        <v>309063</v>
      </c>
      <c r="I83" s="117">
        <v>350944</v>
      </c>
      <c r="J83" s="117">
        <v>387563</v>
      </c>
      <c r="K83" s="117">
        <v>429023</v>
      </c>
      <c r="L83" s="117">
        <v>463833</v>
      </c>
      <c r="M83" s="118">
        <v>534387</v>
      </c>
      <c r="Q83" s="125" t="s">
        <v>279</v>
      </c>
      <c r="R83" s="125">
        <v>12692</v>
      </c>
      <c r="S83" s="125">
        <v>45479</v>
      </c>
      <c r="T83" s="125">
        <v>84686</v>
      </c>
      <c r="U83" s="125">
        <v>130948</v>
      </c>
      <c r="V83" s="125">
        <v>165375</v>
      </c>
      <c r="W83" s="125">
        <v>206604</v>
      </c>
      <c r="X83" s="125">
        <v>255634</v>
      </c>
      <c r="Y83" s="125">
        <v>290308</v>
      </c>
      <c r="Z83" s="125">
        <v>319852</v>
      </c>
      <c r="AA83" s="125">
        <v>355127</v>
      </c>
      <c r="AB83" s="125">
        <v>383941</v>
      </c>
      <c r="AC83" s="116">
        <v>446337</v>
      </c>
    </row>
    <row r="84" spans="1:29" ht="16" x14ac:dyDescent="0.2">
      <c r="A84" s="116" t="s">
        <v>280</v>
      </c>
      <c r="B84" s="117">
        <v>1516923</v>
      </c>
      <c r="C84" s="117">
        <v>2509013</v>
      </c>
      <c r="D84" s="117">
        <v>2720505</v>
      </c>
      <c r="E84" s="117">
        <v>5100943</v>
      </c>
      <c r="F84" s="117">
        <v>5281118</v>
      </c>
      <c r="G84" s="117">
        <v>5450191</v>
      </c>
      <c r="H84" s="117">
        <v>5783941</v>
      </c>
      <c r="I84" s="117">
        <v>6068157</v>
      </c>
      <c r="J84" s="117">
        <v>6423555</v>
      </c>
      <c r="K84" s="117">
        <v>6606589</v>
      </c>
      <c r="L84" s="117">
        <v>7457317</v>
      </c>
      <c r="M84" s="118">
        <v>9095916</v>
      </c>
      <c r="Q84" s="125" t="s">
        <v>280</v>
      </c>
      <c r="R84" s="125">
        <v>89710</v>
      </c>
      <c r="S84" s="125">
        <v>195622</v>
      </c>
      <c r="T84" s="125">
        <v>332716</v>
      </c>
      <c r="U84" s="125">
        <v>450402</v>
      </c>
      <c r="V84" s="125">
        <v>542617</v>
      </c>
      <c r="W84" s="125">
        <v>553752</v>
      </c>
      <c r="X84" s="125">
        <v>676358</v>
      </c>
      <c r="Y84" s="125">
        <v>741495</v>
      </c>
      <c r="Z84" s="125">
        <v>850357</v>
      </c>
      <c r="AA84" s="125">
        <v>933452</v>
      </c>
      <c r="AB84" s="125">
        <v>986419</v>
      </c>
      <c r="AC84" s="116">
        <v>1101498</v>
      </c>
    </row>
    <row r="85" spans="1:29" ht="16" x14ac:dyDescent="0.2">
      <c r="A85" s="116" t="s">
        <v>281</v>
      </c>
      <c r="B85" s="117">
        <v>18797</v>
      </c>
      <c r="C85" s="117">
        <v>35407</v>
      </c>
      <c r="D85" s="117">
        <v>54399</v>
      </c>
      <c r="E85" s="117">
        <v>72148</v>
      </c>
      <c r="F85" s="117">
        <v>90353</v>
      </c>
      <c r="G85" s="117">
        <v>108805</v>
      </c>
      <c r="H85" s="117">
        <v>128553</v>
      </c>
      <c r="I85" s="117">
        <v>149124</v>
      </c>
      <c r="J85" s="117">
        <v>167648</v>
      </c>
      <c r="K85" s="117">
        <v>186703</v>
      </c>
      <c r="L85" s="117">
        <v>205661</v>
      </c>
      <c r="M85" s="118">
        <v>225842</v>
      </c>
      <c r="Q85" s="125" t="s">
        <v>281</v>
      </c>
      <c r="R85" s="125">
        <v>13963</v>
      </c>
      <c r="S85" s="125">
        <v>25878</v>
      </c>
      <c r="T85" s="125">
        <v>39581</v>
      </c>
      <c r="U85" s="125">
        <v>53092</v>
      </c>
      <c r="V85" s="125">
        <v>67144</v>
      </c>
      <c r="W85" s="125">
        <v>81473</v>
      </c>
      <c r="X85" s="125">
        <v>95214</v>
      </c>
      <c r="Y85" s="125">
        <v>110771</v>
      </c>
      <c r="Z85" s="125">
        <v>124533</v>
      </c>
      <c r="AA85" s="125">
        <v>138658</v>
      </c>
      <c r="AB85" s="125">
        <v>153756</v>
      </c>
      <c r="AC85" s="116">
        <v>167540</v>
      </c>
    </row>
    <row r="86" spans="1:29" ht="32" x14ac:dyDescent="0.2">
      <c r="A86" s="116" t="s">
        <v>282</v>
      </c>
      <c r="B86" s="117">
        <v>10262</v>
      </c>
      <c r="C86" s="117">
        <v>22133</v>
      </c>
      <c r="D86" s="117">
        <v>37481</v>
      </c>
      <c r="E86" s="117">
        <v>55220</v>
      </c>
      <c r="F86" s="117">
        <v>63973</v>
      </c>
      <c r="G86" s="117">
        <v>81481</v>
      </c>
      <c r="H86" s="117">
        <v>112425</v>
      </c>
      <c r="I86" s="117">
        <v>165710</v>
      </c>
      <c r="J86" s="117">
        <v>179575</v>
      </c>
      <c r="K86" s="117">
        <v>194226</v>
      </c>
      <c r="L86" s="117">
        <v>218766</v>
      </c>
      <c r="M86" s="118">
        <v>244516</v>
      </c>
      <c r="Q86" s="125" t="s">
        <v>282</v>
      </c>
      <c r="R86" s="125">
        <v>6833</v>
      </c>
      <c r="S86" s="125">
        <v>13324</v>
      </c>
      <c r="T86" s="125">
        <v>18549</v>
      </c>
      <c r="U86" s="125">
        <v>26784</v>
      </c>
      <c r="V86" s="125">
        <v>47321</v>
      </c>
      <c r="W86" s="125">
        <v>46526</v>
      </c>
      <c r="X86" s="125">
        <v>63613</v>
      </c>
      <c r="Y86" s="125">
        <v>85286</v>
      </c>
      <c r="Z86" s="125">
        <v>88965</v>
      </c>
      <c r="AA86" s="125">
        <v>103353</v>
      </c>
      <c r="AB86" s="125">
        <v>114234</v>
      </c>
      <c r="AC86" s="116">
        <v>128667</v>
      </c>
    </row>
    <row r="87" spans="1:29" ht="16" x14ac:dyDescent="0.2">
      <c r="A87" s="116" t="s">
        <v>283</v>
      </c>
      <c r="B87" s="117">
        <v>76575</v>
      </c>
      <c r="C87" s="117">
        <v>191647</v>
      </c>
      <c r="D87" s="117">
        <v>312444</v>
      </c>
      <c r="E87" s="117">
        <v>414407</v>
      </c>
      <c r="F87" s="117">
        <v>616438</v>
      </c>
      <c r="G87" s="117">
        <v>753450</v>
      </c>
      <c r="H87" s="117">
        <v>859275</v>
      </c>
      <c r="I87" s="117">
        <v>974097</v>
      </c>
      <c r="J87" s="117">
        <v>1078706</v>
      </c>
      <c r="K87" s="117">
        <v>1197017</v>
      </c>
      <c r="L87" s="117">
        <v>1330218</v>
      </c>
      <c r="M87" s="118">
        <v>1494227</v>
      </c>
      <c r="Q87" s="125" t="s">
        <v>283</v>
      </c>
      <c r="R87" s="125">
        <v>33428</v>
      </c>
      <c r="S87" s="125">
        <v>54868</v>
      </c>
      <c r="T87" s="125">
        <v>86707</v>
      </c>
      <c r="U87" s="125">
        <v>112160</v>
      </c>
      <c r="V87" s="125">
        <v>139309</v>
      </c>
      <c r="W87" s="125">
        <v>155343</v>
      </c>
      <c r="X87" s="125">
        <v>186063</v>
      </c>
      <c r="Y87" s="125">
        <v>210927</v>
      </c>
      <c r="Z87" s="125">
        <v>139426</v>
      </c>
      <c r="AA87" s="125">
        <v>176089</v>
      </c>
      <c r="AB87" s="125">
        <v>206070</v>
      </c>
      <c r="AC87" s="116">
        <v>231390</v>
      </c>
    </row>
    <row r="88" spans="1:29" ht="32" x14ac:dyDescent="0.2">
      <c r="A88" s="116" t="s">
        <v>284</v>
      </c>
      <c r="B88" s="117">
        <v>56257</v>
      </c>
      <c r="C88" s="117">
        <v>156867</v>
      </c>
      <c r="D88" s="117">
        <v>257151</v>
      </c>
      <c r="E88" s="117">
        <v>334932</v>
      </c>
      <c r="F88" s="117">
        <v>375530</v>
      </c>
      <c r="G88" s="117">
        <v>422594</v>
      </c>
      <c r="H88" s="117">
        <v>474152</v>
      </c>
      <c r="I88" s="117">
        <v>525237</v>
      </c>
      <c r="J88" s="117">
        <v>538179</v>
      </c>
      <c r="K88" s="117">
        <v>567724</v>
      </c>
      <c r="L88" s="117">
        <v>578610</v>
      </c>
      <c r="M88" s="118">
        <v>622559</v>
      </c>
      <c r="Q88" s="125" t="s">
        <v>284</v>
      </c>
      <c r="R88" s="125">
        <v>155622</v>
      </c>
      <c r="S88" s="125">
        <v>311851</v>
      </c>
      <c r="T88" s="125">
        <v>395575</v>
      </c>
      <c r="U88" s="125">
        <v>442633</v>
      </c>
      <c r="V88" s="125">
        <v>557859</v>
      </c>
      <c r="W88" s="125">
        <v>612013</v>
      </c>
      <c r="X88" s="125">
        <v>620694</v>
      </c>
      <c r="Y88" s="125">
        <v>619135</v>
      </c>
      <c r="Z88" s="125">
        <v>913204</v>
      </c>
      <c r="AA88" s="125">
        <v>1699294</v>
      </c>
      <c r="AB88" s="125">
        <v>1505783</v>
      </c>
      <c r="AC88" s="116">
        <v>-98385</v>
      </c>
    </row>
    <row r="89" spans="1:29" ht="32" x14ac:dyDescent="0.2">
      <c r="A89" s="116" t="s">
        <v>285</v>
      </c>
      <c r="B89" s="117">
        <v>13542.49</v>
      </c>
      <c r="C89" s="117">
        <v>21777.19</v>
      </c>
      <c r="D89" s="117">
        <v>27764.23</v>
      </c>
      <c r="E89" s="117">
        <v>34386.959999999999</v>
      </c>
      <c r="F89" s="117">
        <v>42478.85</v>
      </c>
      <c r="G89" s="117">
        <v>49097.95</v>
      </c>
      <c r="H89" s="117">
        <v>57520.04</v>
      </c>
      <c r="I89" s="117">
        <v>64821.36</v>
      </c>
      <c r="J89" s="117">
        <v>73908.820000000007</v>
      </c>
      <c r="K89" s="117">
        <v>85297.9</v>
      </c>
      <c r="L89" s="117">
        <v>94666.61</v>
      </c>
      <c r="M89" s="118">
        <v>114231</v>
      </c>
      <c r="Q89" s="125" t="s">
        <v>285</v>
      </c>
      <c r="R89" s="125">
        <v>2684.93</v>
      </c>
      <c r="S89" s="125">
        <v>5132.3500000000004</v>
      </c>
      <c r="T89" s="125">
        <v>8147.17</v>
      </c>
      <c r="U89" s="125">
        <v>9844.6</v>
      </c>
      <c r="V89" s="125">
        <v>12587.77</v>
      </c>
      <c r="W89" s="125">
        <v>14835.82</v>
      </c>
      <c r="X89" s="125">
        <v>15934.89</v>
      </c>
      <c r="Y89" s="125">
        <v>17940.47</v>
      </c>
      <c r="Z89" s="125">
        <v>19119.48</v>
      </c>
      <c r="AA89" s="125">
        <v>20531.37</v>
      </c>
      <c r="AB89" s="125">
        <v>22490.51</v>
      </c>
      <c r="AC89" s="116">
        <v>22759</v>
      </c>
    </row>
    <row r="90" spans="1:29" ht="32" x14ac:dyDescent="0.2">
      <c r="A90" s="116" t="s">
        <v>286</v>
      </c>
      <c r="B90" s="117">
        <v>4446</v>
      </c>
      <c r="C90" s="117">
        <v>8552</v>
      </c>
      <c r="D90" s="117">
        <v>37761</v>
      </c>
      <c r="E90" s="117">
        <v>43465</v>
      </c>
      <c r="F90" s="117">
        <v>48205</v>
      </c>
      <c r="G90" s="117">
        <v>53561</v>
      </c>
      <c r="H90" s="117">
        <v>58038</v>
      </c>
      <c r="I90" s="117">
        <v>100012</v>
      </c>
      <c r="J90" s="117">
        <v>102578</v>
      </c>
      <c r="K90" s="117">
        <v>108422</v>
      </c>
      <c r="L90" s="117">
        <v>114624</v>
      </c>
      <c r="M90" s="118">
        <v>120722</v>
      </c>
      <c r="Q90" s="125" t="s">
        <v>286</v>
      </c>
      <c r="R90" s="125">
        <v>1619</v>
      </c>
      <c r="S90" s="125">
        <v>2902</v>
      </c>
      <c r="T90" s="125">
        <v>4839</v>
      </c>
      <c r="U90" s="125">
        <v>6742</v>
      </c>
      <c r="V90" s="125">
        <v>8253</v>
      </c>
      <c r="W90" s="125">
        <v>10124</v>
      </c>
      <c r="X90" s="125">
        <v>11623</v>
      </c>
      <c r="Y90" s="125">
        <v>13132</v>
      </c>
      <c r="Z90" s="125">
        <v>14870</v>
      </c>
      <c r="AA90" s="125">
        <v>17107</v>
      </c>
      <c r="AB90" s="125">
        <v>18719</v>
      </c>
      <c r="AC90" s="116">
        <v>19710</v>
      </c>
    </row>
    <row r="91" spans="1:29" ht="32" x14ac:dyDescent="0.2">
      <c r="A91" s="116" t="s">
        <v>287</v>
      </c>
      <c r="B91" s="117">
        <v>9422.0300000000007</v>
      </c>
      <c r="C91" s="117">
        <v>14754.36</v>
      </c>
      <c r="D91" s="117">
        <v>18495.45</v>
      </c>
      <c r="E91" s="117">
        <v>21664.04</v>
      </c>
      <c r="F91" s="117">
        <v>24566.11</v>
      </c>
      <c r="G91" s="117">
        <v>28871.88</v>
      </c>
      <c r="H91" s="117">
        <v>31435.59</v>
      </c>
      <c r="I91" s="117">
        <v>31435.59</v>
      </c>
      <c r="J91" s="117">
        <v>36590.339999999997</v>
      </c>
      <c r="K91" s="117">
        <v>55909.04</v>
      </c>
      <c r="L91" s="117">
        <v>60283.87</v>
      </c>
      <c r="M91" s="118">
        <v>63848.26</v>
      </c>
      <c r="Q91" s="125" t="s">
        <v>287</v>
      </c>
      <c r="R91" s="125">
        <v>9155.59</v>
      </c>
      <c r="S91" s="125">
        <v>-7609.71</v>
      </c>
      <c r="T91" s="125">
        <v>-4456.13</v>
      </c>
      <c r="U91" s="125">
        <v>-10098.15</v>
      </c>
      <c r="V91" s="125">
        <v>-8135</v>
      </c>
      <c r="W91" s="125">
        <v>-3837.84</v>
      </c>
      <c r="X91" s="125">
        <v>-4181.34</v>
      </c>
      <c r="Y91" s="125">
        <v>-4181.34</v>
      </c>
      <c r="Z91" s="125">
        <v>16014.74</v>
      </c>
      <c r="AA91" s="125">
        <v>34537.800000000003</v>
      </c>
      <c r="AB91" s="125">
        <v>-2122.09</v>
      </c>
      <c r="AC91" s="116">
        <v>-2463.2399999999998</v>
      </c>
    </row>
    <row r="92" spans="1:29" ht="16" x14ac:dyDescent="0.2">
      <c r="A92" s="116" t="s">
        <v>288</v>
      </c>
      <c r="B92" s="117">
        <v>115475</v>
      </c>
      <c r="C92" s="117">
        <v>256168</v>
      </c>
      <c r="D92" s="117">
        <v>460355</v>
      </c>
      <c r="E92" s="117">
        <v>586994</v>
      </c>
      <c r="F92" s="117">
        <v>759719</v>
      </c>
      <c r="G92" s="117">
        <v>986587</v>
      </c>
      <c r="H92" s="117">
        <v>1387554</v>
      </c>
      <c r="I92" s="117">
        <v>1658591</v>
      </c>
      <c r="J92" s="117">
        <v>1965941</v>
      </c>
      <c r="K92" s="117">
        <v>2183172</v>
      </c>
      <c r="L92" s="117">
        <v>2357252</v>
      </c>
      <c r="M92" s="118">
        <v>2810466</v>
      </c>
      <c r="Q92" s="125" t="s">
        <v>288</v>
      </c>
      <c r="R92" s="125">
        <v>47355</v>
      </c>
      <c r="S92" s="125">
        <v>66842</v>
      </c>
      <c r="T92" s="125">
        <v>119593</v>
      </c>
      <c r="U92" s="125">
        <v>157949</v>
      </c>
      <c r="V92" s="125">
        <v>205948</v>
      </c>
      <c r="W92" s="125">
        <v>266524</v>
      </c>
      <c r="X92" s="125">
        <v>303656</v>
      </c>
      <c r="Y92" s="125">
        <v>333903</v>
      </c>
      <c r="Z92" s="125">
        <v>350695</v>
      </c>
      <c r="AA92" s="125">
        <v>400209</v>
      </c>
      <c r="AB92" s="125">
        <v>443336</v>
      </c>
      <c r="AC92" s="116">
        <v>462029</v>
      </c>
    </row>
    <row r="93" spans="1:29" ht="32" x14ac:dyDescent="0.2">
      <c r="A93" s="116" t="s">
        <v>289</v>
      </c>
      <c r="B93" s="117">
        <v>150244</v>
      </c>
      <c r="C93" s="117">
        <v>221198</v>
      </c>
      <c r="D93" s="117">
        <v>259337</v>
      </c>
      <c r="E93" s="117">
        <v>281247</v>
      </c>
      <c r="F93" s="117">
        <v>359632</v>
      </c>
      <c r="G93" s="117">
        <v>437698</v>
      </c>
      <c r="H93" s="117">
        <v>542913</v>
      </c>
      <c r="I93" s="117">
        <v>592669</v>
      </c>
      <c r="J93" s="117">
        <v>668900</v>
      </c>
      <c r="K93" s="117">
        <v>691264</v>
      </c>
      <c r="L93" s="117">
        <v>711195</v>
      </c>
      <c r="M93" s="118">
        <v>773217</v>
      </c>
      <c r="Q93" s="125" t="s">
        <v>289</v>
      </c>
      <c r="R93" s="125">
        <v>15883</v>
      </c>
      <c r="S93" s="125">
        <v>21062</v>
      </c>
      <c r="T93" s="125">
        <v>40533</v>
      </c>
      <c r="U93" s="125">
        <v>45892</v>
      </c>
      <c r="V93" s="125">
        <v>60464</v>
      </c>
      <c r="W93" s="125">
        <v>65091</v>
      </c>
      <c r="X93" s="125">
        <v>82311</v>
      </c>
      <c r="Y93" s="125">
        <v>93419</v>
      </c>
      <c r="Z93" s="125">
        <v>105466</v>
      </c>
      <c r="AA93" s="125">
        <v>114125</v>
      </c>
      <c r="AB93" s="125">
        <v>123623</v>
      </c>
      <c r="AC93" s="116">
        <v>124250</v>
      </c>
    </row>
    <row r="94" spans="1:29" ht="32" x14ac:dyDescent="0.2">
      <c r="A94" s="116" t="s">
        <v>290</v>
      </c>
      <c r="B94" s="117">
        <v>49032</v>
      </c>
      <c r="C94" s="117">
        <v>457926</v>
      </c>
      <c r="D94" s="117">
        <v>490615</v>
      </c>
      <c r="E94" s="117">
        <v>703200</v>
      </c>
      <c r="F94" s="117">
        <v>727124</v>
      </c>
      <c r="G94" s="117">
        <v>903564</v>
      </c>
      <c r="H94" s="117">
        <v>925511</v>
      </c>
      <c r="I94" s="117">
        <v>941659</v>
      </c>
      <c r="J94" s="117">
        <v>965934</v>
      </c>
      <c r="K94" s="117">
        <v>992352</v>
      </c>
      <c r="L94" s="117">
        <v>1026947</v>
      </c>
      <c r="M94" s="118">
        <v>1176275</v>
      </c>
      <c r="Q94" s="125" t="s">
        <v>290</v>
      </c>
      <c r="R94" s="125">
        <v>12076</v>
      </c>
      <c r="S94" s="125">
        <v>32160</v>
      </c>
      <c r="T94" s="125">
        <v>62688</v>
      </c>
      <c r="U94" s="125">
        <v>84242</v>
      </c>
      <c r="V94" s="125">
        <v>108520</v>
      </c>
      <c r="W94" s="125">
        <v>130155</v>
      </c>
      <c r="X94" s="125">
        <v>143978</v>
      </c>
      <c r="Y94" s="125">
        <v>163379</v>
      </c>
      <c r="Z94" s="125">
        <v>189160</v>
      </c>
      <c r="AA94" s="125">
        <v>212463</v>
      </c>
      <c r="AB94" s="125">
        <v>237884</v>
      </c>
      <c r="AC94" s="116">
        <v>251069</v>
      </c>
    </row>
    <row r="95" spans="1:29" ht="32" x14ac:dyDescent="0.2">
      <c r="A95" s="116" t="s">
        <v>291</v>
      </c>
      <c r="B95" s="117">
        <v>543821</v>
      </c>
      <c r="C95" s="117">
        <v>1021884</v>
      </c>
      <c r="D95" s="117">
        <v>1489940</v>
      </c>
      <c r="E95" s="117">
        <v>2224128</v>
      </c>
      <c r="F95" s="117">
        <v>2830782</v>
      </c>
      <c r="G95" s="117">
        <v>3503832</v>
      </c>
      <c r="H95" s="117">
        <v>4198690</v>
      </c>
      <c r="I95" s="117">
        <v>5186961</v>
      </c>
      <c r="J95" s="117">
        <v>6164859</v>
      </c>
      <c r="K95" s="117">
        <v>6730660</v>
      </c>
      <c r="L95" s="117">
        <v>7107761</v>
      </c>
      <c r="M95" s="118">
        <v>7744286</v>
      </c>
      <c r="Q95" s="125" t="s">
        <v>291</v>
      </c>
      <c r="R95" s="125">
        <v>30298</v>
      </c>
      <c r="S95" s="125">
        <v>-86020</v>
      </c>
      <c r="T95" s="125">
        <v>-31107</v>
      </c>
      <c r="U95" s="125">
        <v>106976</v>
      </c>
      <c r="V95" s="125">
        <v>286664</v>
      </c>
      <c r="W95" s="125">
        <v>370242</v>
      </c>
      <c r="X95" s="125">
        <v>326434</v>
      </c>
      <c r="Y95" s="125">
        <v>797231</v>
      </c>
      <c r="Z95" s="125">
        <v>1059968</v>
      </c>
      <c r="AA95" s="125">
        <v>722578</v>
      </c>
      <c r="AB95" s="125">
        <v>96318</v>
      </c>
      <c r="AC95" s="116">
        <v>208067</v>
      </c>
    </row>
    <row r="96" spans="1:29" ht="32" x14ac:dyDescent="0.2">
      <c r="A96" s="116" t="s">
        <v>292</v>
      </c>
      <c r="B96" s="117">
        <v>10225.69</v>
      </c>
      <c r="C96" s="117">
        <v>26393.01</v>
      </c>
      <c r="D96" s="117">
        <v>42521.75</v>
      </c>
      <c r="E96" s="117">
        <v>89829.7</v>
      </c>
      <c r="F96" s="117">
        <v>106174.42</v>
      </c>
      <c r="G96" s="117">
        <v>125642.1</v>
      </c>
      <c r="H96" s="117">
        <v>146343.1</v>
      </c>
      <c r="I96" s="117">
        <v>218204.11</v>
      </c>
      <c r="J96" s="117">
        <v>363644.96</v>
      </c>
      <c r="K96" s="117">
        <v>483517.93</v>
      </c>
      <c r="L96" s="117">
        <v>591113.72</v>
      </c>
      <c r="M96" s="118">
        <v>674175</v>
      </c>
      <c r="Q96" s="125" t="s">
        <v>292</v>
      </c>
      <c r="R96" s="125">
        <v>3566.52</v>
      </c>
      <c r="S96" s="125">
        <v>-848.53</v>
      </c>
      <c r="T96" s="125">
        <v>2928.81</v>
      </c>
      <c r="U96" s="125">
        <v>4581.63</v>
      </c>
      <c r="V96" s="125">
        <v>1378.27</v>
      </c>
      <c r="W96" s="125">
        <v>7328.59</v>
      </c>
      <c r="X96" s="125">
        <v>12728.76</v>
      </c>
      <c r="Y96" s="125">
        <v>16631.080000000002</v>
      </c>
      <c r="Z96" s="125">
        <v>20232.86</v>
      </c>
      <c r="AA96" s="125">
        <v>20232.86</v>
      </c>
      <c r="AB96" s="125">
        <v>26234.74</v>
      </c>
      <c r="AC96" s="116">
        <v>36593</v>
      </c>
    </row>
    <row r="97" spans="1:29" ht="32" x14ac:dyDescent="0.2">
      <c r="A97" s="116" t="s">
        <v>293</v>
      </c>
      <c r="B97" s="117">
        <v>50212.02</v>
      </c>
      <c r="C97" s="117">
        <v>94674.18</v>
      </c>
      <c r="D97" s="117">
        <v>145292.17000000001</v>
      </c>
      <c r="E97" s="117">
        <v>191955.23</v>
      </c>
      <c r="F97" s="117">
        <v>226015.3</v>
      </c>
      <c r="G97" s="117">
        <v>267113.56</v>
      </c>
      <c r="H97" s="117">
        <v>344364.93</v>
      </c>
      <c r="I97" s="117">
        <v>385583.98</v>
      </c>
      <c r="J97" s="117">
        <v>426550.65</v>
      </c>
      <c r="K97" s="117">
        <v>464039.24</v>
      </c>
      <c r="L97" s="117">
        <v>510185.92</v>
      </c>
      <c r="M97" s="118">
        <v>548614</v>
      </c>
      <c r="Q97" s="125" t="s">
        <v>293</v>
      </c>
      <c r="R97" s="125">
        <v>18985.240000000002</v>
      </c>
      <c r="S97" s="125">
        <v>32349.8</v>
      </c>
      <c r="T97" s="125">
        <v>51661.05</v>
      </c>
      <c r="U97" s="125">
        <v>70502.259999999995</v>
      </c>
      <c r="V97" s="125">
        <v>90233.04</v>
      </c>
      <c r="W97" s="125">
        <v>112650.76</v>
      </c>
      <c r="X97" s="125">
        <v>129878.53</v>
      </c>
      <c r="Y97" s="125">
        <v>151312.60999999999</v>
      </c>
      <c r="Z97" s="125">
        <v>165871.62</v>
      </c>
      <c r="AA97" s="125">
        <v>182161.08</v>
      </c>
      <c r="AB97" s="125">
        <v>205442.87</v>
      </c>
      <c r="AC97" s="116">
        <v>219976</v>
      </c>
    </row>
    <row r="98" spans="1:29" ht="16" x14ac:dyDescent="0.2">
      <c r="A98" s="116" t="s">
        <v>294</v>
      </c>
      <c r="B98" s="117">
        <v>7733</v>
      </c>
      <c r="C98" s="117">
        <v>31934</v>
      </c>
      <c r="D98" s="117">
        <v>53657</v>
      </c>
      <c r="E98" s="117">
        <v>63866</v>
      </c>
      <c r="F98" s="117">
        <v>85645</v>
      </c>
      <c r="G98" s="117">
        <v>103654</v>
      </c>
      <c r="H98" s="117">
        <v>123306</v>
      </c>
      <c r="I98" s="117">
        <v>145985</v>
      </c>
      <c r="J98" s="117">
        <v>175089</v>
      </c>
      <c r="K98" s="117">
        <v>200016</v>
      </c>
      <c r="L98" s="117">
        <v>239970</v>
      </c>
      <c r="M98" s="118">
        <v>363843</v>
      </c>
      <c r="Q98" s="125" t="s">
        <v>294</v>
      </c>
      <c r="R98" s="125">
        <v>2567</v>
      </c>
      <c r="S98" s="125">
        <v>6185</v>
      </c>
      <c r="T98" s="125">
        <v>10528</v>
      </c>
      <c r="U98" s="125">
        <v>12001</v>
      </c>
      <c r="V98" s="125">
        <v>16225</v>
      </c>
      <c r="W98" s="125">
        <v>19466</v>
      </c>
      <c r="X98" s="125">
        <v>22447</v>
      </c>
      <c r="Y98" s="125">
        <v>26000</v>
      </c>
      <c r="Z98" s="125">
        <v>26931</v>
      </c>
      <c r="AA98" s="125">
        <v>29547</v>
      </c>
      <c r="AB98" s="125">
        <v>33138</v>
      </c>
      <c r="AC98" s="116">
        <v>50297</v>
      </c>
    </row>
    <row r="99" spans="1:29" ht="32" x14ac:dyDescent="0.2">
      <c r="A99" s="116" t="s">
        <v>295</v>
      </c>
      <c r="B99" s="117">
        <v>68835</v>
      </c>
      <c r="C99" s="117">
        <v>150042</v>
      </c>
      <c r="D99" s="117">
        <v>215115</v>
      </c>
      <c r="E99" s="117">
        <v>272033</v>
      </c>
      <c r="F99" s="117">
        <v>318218</v>
      </c>
      <c r="G99" s="117">
        <v>357309</v>
      </c>
      <c r="H99" s="117">
        <v>415021</v>
      </c>
      <c r="I99" s="117">
        <v>451686</v>
      </c>
      <c r="J99" s="117">
        <v>489492</v>
      </c>
      <c r="K99" s="117">
        <v>530191</v>
      </c>
      <c r="L99" s="117">
        <v>571556</v>
      </c>
      <c r="M99" s="118">
        <v>678367</v>
      </c>
      <c r="Q99" s="125" t="s">
        <v>295</v>
      </c>
      <c r="R99" s="125">
        <v>3211</v>
      </c>
      <c r="S99" s="125">
        <v>5915</v>
      </c>
      <c r="T99" s="125">
        <v>17852</v>
      </c>
      <c r="U99" s="125">
        <v>26865</v>
      </c>
      <c r="V99" s="125">
        <v>27510</v>
      </c>
      <c r="W99" s="125">
        <v>39182</v>
      </c>
      <c r="X99" s="125">
        <v>50281</v>
      </c>
      <c r="Y99" s="125">
        <v>60104</v>
      </c>
      <c r="Z99" s="125">
        <v>67006</v>
      </c>
      <c r="AA99" s="125">
        <v>70117</v>
      </c>
      <c r="AB99" s="125">
        <v>75853</v>
      </c>
      <c r="AC99" s="116">
        <v>83842</v>
      </c>
    </row>
    <row r="100" spans="1:29" ht="16" x14ac:dyDescent="0.2">
      <c r="A100" s="119" t="s">
        <v>296</v>
      </c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2"/>
      <c r="Q100" s="126" t="s">
        <v>296</v>
      </c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19"/>
    </row>
    <row r="101" spans="1:29" ht="32" x14ac:dyDescent="0.2">
      <c r="A101" s="119" t="s">
        <v>297</v>
      </c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2"/>
      <c r="Q101" s="126" t="s">
        <v>297</v>
      </c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19"/>
    </row>
    <row r="102" spans="1:29" ht="32" x14ac:dyDescent="0.2">
      <c r="A102" s="116" t="s">
        <v>298</v>
      </c>
      <c r="B102" s="117">
        <v>453515</v>
      </c>
      <c r="C102" s="117">
        <v>634121</v>
      </c>
      <c r="D102" s="117">
        <v>832336</v>
      </c>
      <c r="E102" s="117">
        <v>1006254</v>
      </c>
      <c r="F102" s="117">
        <v>1142210</v>
      </c>
      <c r="G102" s="117">
        <v>1314395</v>
      </c>
      <c r="H102" s="117">
        <v>1792577</v>
      </c>
      <c r="I102" s="117">
        <v>2130048</v>
      </c>
      <c r="J102" s="117">
        <v>2324619</v>
      </c>
      <c r="K102" s="117">
        <v>2584258</v>
      </c>
      <c r="L102" s="117">
        <v>2759180</v>
      </c>
      <c r="M102" s="118">
        <v>3027949</v>
      </c>
      <c r="Q102" s="125" t="s">
        <v>298</v>
      </c>
      <c r="R102" s="125">
        <v>68889</v>
      </c>
      <c r="S102" s="125">
        <v>106283</v>
      </c>
      <c r="T102" s="125">
        <v>154982</v>
      </c>
      <c r="U102" s="125">
        <v>231771</v>
      </c>
      <c r="V102" s="125">
        <v>324268</v>
      </c>
      <c r="W102" s="125">
        <v>389787</v>
      </c>
      <c r="X102" s="125">
        <v>473899</v>
      </c>
      <c r="Y102" s="125">
        <v>576091</v>
      </c>
      <c r="Z102" s="125">
        <v>632667</v>
      </c>
      <c r="AA102" s="125">
        <v>716194</v>
      </c>
      <c r="AB102" s="125">
        <v>77245</v>
      </c>
      <c r="AC102" s="116">
        <v>856634</v>
      </c>
    </row>
    <row r="103" spans="1:29" ht="32" x14ac:dyDescent="0.2">
      <c r="A103" s="116" t="s">
        <v>299</v>
      </c>
      <c r="B103" s="117">
        <v>123785</v>
      </c>
      <c r="C103" s="117">
        <v>211800</v>
      </c>
      <c r="D103" s="117">
        <v>346675</v>
      </c>
      <c r="E103" s="117">
        <v>413181</v>
      </c>
      <c r="F103" s="117">
        <v>504764</v>
      </c>
      <c r="G103" s="117">
        <v>589717</v>
      </c>
      <c r="H103" s="117">
        <v>698609</v>
      </c>
      <c r="I103" s="117">
        <v>783147</v>
      </c>
      <c r="J103" s="117">
        <v>861483</v>
      </c>
      <c r="K103" s="117">
        <v>944994</v>
      </c>
      <c r="L103" s="117">
        <v>1029927</v>
      </c>
      <c r="M103" s="118">
        <v>1144886</v>
      </c>
      <c r="Q103" s="125" t="s">
        <v>299</v>
      </c>
      <c r="R103" s="125">
        <v>29212</v>
      </c>
      <c r="S103" s="125">
        <v>46877</v>
      </c>
      <c r="T103" s="125">
        <v>74118</v>
      </c>
      <c r="U103" s="125">
        <v>99371</v>
      </c>
      <c r="V103" s="125">
        <v>134882</v>
      </c>
      <c r="W103" s="125">
        <v>156711</v>
      </c>
      <c r="X103" s="125">
        <v>197302</v>
      </c>
      <c r="Y103" s="125">
        <v>212804</v>
      </c>
      <c r="Z103" s="125">
        <v>238984</v>
      </c>
      <c r="AA103" s="125">
        <v>272253</v>
      </c>
      <c r="AB103" s="125">
        <v>294695</v>
      </c>
      <c r="AC103" s="116">
        <v>323725</v>
      </c>
    </row>
    <row r="104" spans="1:29" ht="32" x14ac:dyDescent="0.2">
      <c r="A104" s="116" t="s">
        <v>300</v>
      </c>
      <c r="B104" s="117">
        <v>354620</v>
      </c>
      <c r="C104" s="117">
        <v>537904</v>
      </c>
      <c r="D104" s="117">
        <v>1104526</v>
      </c>
      <c r="E104" s="117">
        <v>1289608</v>
      </c>
      <c r="F104" s="117">
        <v>1442591</v>
      </c>
      <c r="G104" s="117">
        <v>1648709</v>
      </c>
      <c r="H104" s="117">
        <v>1880116</v>
      </c>
      <c r="I104" s="117">
        <v>2098914</v>
      </c>
      <c r="J104" s="117">
        <v>2280750</v>
      </c>
      <c r="K104" s="117">
        <v>2417188</v>
      </c>
      <c r="L104" s="117">
        <v>2514499</v>
      </c>
      <c r="M104" s="118">
        <v>2641227</v>
      </c>
      <c r="Q104" s="125" t="s">
        <v>300</v>
      </c>
      <c r="R104" s="125">
        <v>39532</v>
      </c>
      <c r="S104" s="125">
        <v>74440</v>
      </c>
      <c r="T104" s="125">
        <v>126386</v>
      </c>
      <c r="U104" s="125">
        <v>178969</v>
      </c>
      <c r="V104" s="125">
        <v>225873</v>
      </c>
      <c r="W104" s="125">
        <v>273162</v>
      </c>
      <c r="X104" s="125">
        <v>318498</v>
      </c>
      <c r="Y104" s="125">
        <v>378698</v>
      </c>
      <c r="Z104" s="125">
        <v>413894</v>
      </c>
      <c r="AA104" s="125">
        <v>451543</v>
      </c>
      <c r="AB104" s="125">
        <v>497717</v>
      </c>
      <c r="AC104" s="116">
        <v>545956</v>
      </c>
    </row>
    <row r="105" spans="1:29" ht="32" x14ac:dyDescent="0.2">
      <c r="A105" s="116" t="s">
        <v>301</v>
      </c>
      <c r="B105" s="117">
        <v>542227</v>
      </c>
      <c r="C105" s="117">
        <v>883421</v>
      </c>
      <c r="D105" s="117">
        <v>1250196</v>
      </c>
      <c r="E105" s="117">
        <v>2061467</v>
      </c>
      <c r="F105" s="117">
        <v>2436379</v>
      </c>
      <c r="G105" s="117">
        <v>3780794</v>
      </c>
      <c r="H105" s="117">
        <v>4338151</v>
      </c>
      <c r="I105" s="117">
        <v>4636890</v>
      </c>
      <c r="J105" s="117">
        <v>4796505</v>
      </c>
      <c r="K105" s="117">
        <v>5087735</v>
      </c>
      <c r="L105" s="117">
        <v>5225698</v>
      </c>
      <c r="M105" s="118">
        <v>6011019</v>
      </c>
      <c r="Q105" s="125" t="s">
        <v>301</v>
      </c>
      <c r="R105" s="125">
        <v>62288</v>
      </c>
      <c r="S105" s="125">
        <v>102260</v>
      </c>
      <c r="T105" s="125">
        <v>145575</v>
      </c>
      <c r="U105" s="125">
        <v>162696</v>
      </c>
      <c r="V105" s="125">
        <v>264594</v>
      </c>
      <c r="W105" s="125">
        <v>345033</v>
      </c>
      <c r="X105" s="125">
        <v>474508</v>
      </c>
      <c r="Y105" s="125">
        <v>580097</v>
      </c>
      <c r="Z105" s="125">
        <v>660944</v>
      </c>
      <c r="AA105" s="125">
        <v>713266</v>
      </c>
      <c r="AB105" s="125">
        <v>747372</v>
      </c>
      <c r="AC105" s="116">
        <v>842188</v>
      </c>
    </row>
    <row r="106" spans="1:29" ht="32" x14ac:dyDescent="0.2">
      <c r="A106" s="116" t="s">
        <v>302</v>
      </c>
      <c r="B106" s="117">
        <v>56569</v>
      </c>
      <c r="C106" s="117">
        <v>96850</v>
      </c>
      <c r="D106" s="117">
        <v>147718</v>
      </c>
      <c r="E106" s="117">
        <v>178698</v>
      </c>
      <c r="F106" s="117">
        <v>221693</v>
      </c>
      <c r="G106" s="117">
        <v>256236</v>
      </c>
      <c r="H106" s="117">
        <v>295141</v>
      </c>
      <c r="I106" s="117">
        <v>331145</v>
      </c>
      <c r="J106" s="117">
        <v>364176</v>
      </c>
      <c r="K106" s="117">
        <v>395357</v>
      </c>
      <c r="L106" s="117">
        <v>421074</v>
      </c>
      <c r="M106" s="118">
        <v>473315</v>
      </c>
      <c r="Q106" s="125" t="s">
        <v>302</v>
      </c>
      <c r="R106" s="125">
        <v>13664</v>
      </c>
      <c r="S106" s="125">
        <v>26030</v>
      </c>
      <c r="T106" s="125">
        <v>40792</v>
      </c>
      <c r="U106" s="125">
        <v>52912</v>
      </c>
      <c r="V106" s="125">
        <v>66464</v>
      </c>
      <c r="W106" s="125">
        <v>78852</v>
      </c>
      <c r="X106" s="125">
        <v>93272</v>
      </c>
      <c r="Y106" s="125">
        <v>105805</v>
      </c>
      <c r="Z106" s="125">
        <v>118024</v>
      </c>
      <c r="AA106" s="125">
        <v>126167</v>
      </c>
      <c r="AB106" s="125">
        <v>137682</v>
      </c>
      <c r="AC106" s="116">
        <v>147028</v>
      </c>
    </row>
    <row r="107" spans="1:29" ht="32" x14ac:dyDescent="0.2">
      <c r="A107" s="116" t="s">
        <v>303</v>
      </c>
      <c r="B107" s="117">
        <v>111304</v>
      </c>
      <c r="C107" s="117">
        <v>221655</v>
      </c>
      <c r="D107" s="117">
        <v>292295</v>
      </c>
      <c r="E107" s="117">
        <v>210834</v>
      </c>
      <c r="F107" s="117">
        <v>360608</v>
      </c>
      <c r="G107" s="117">
        <v>431901</v>
      </c>
      <c r="H107" s="117">
        <v>520037</v>
      </c>
      <c r="I107" s="117">
        <v>632802</v>
      </c>
      <c r="J107" s="117">
        <v>729247</v>
      </c>
      <c r="K107" s="117">
        <v>804590</v>
      </c>
      <c r="L107" s="117">
        <v>893875</v>
      </c>
      <c r="M107" s="118">
        <v>993723</v>
      </c>
      <c r="Q107" s="125" t="s">
        <v>303</v>
      </c>
      <c r="R107" s="125">
        <v>63833</v>
      </c>
      <c r="S107" s="125">
        <v>147902</v>
      </c>
      <c r="T107" s="125">
        <v>190751</v>
      </c>
      <c r="U107" s="125">
        <v>192339</v>
      </c>
      <c r="V107" s="125">
        <v>234018</v>
      </c>
      <c r="W107" s="125">
        <v>277972</v>
      </c>
      <c r="X107" s="125">
        <v>318224</v>
      </c>
      <c r="Y107" s="125">
        <v>369441</v>
      </c>
      <c r="Z107" s="125">
        <v>423273</v>
      </c>
      <c r="AA107" s="125">
        <v>479883</v>
      </c>
      <c r="AB107" s="125">
        <v>544735</v>
      </c>
      <c r="AC107" s="116">
        <v>596767</v>
      </c>
    </row>
    <row r="108" spans="1:29" ht="32" x14ac:dyDescent="0.2">
      <c r="A108" s="116" t="s">
        <v>304</v>
      </c>
      <c r="B108" s="117">
        <v>177596</v>
      </c>
      <c r="C108" s="117">
        <v>267317</v>
      </c>
      <c r="D108" s="117">
        <v>341082</v>
      </c>
      <c r="E108" s="117">
        <v>382978</v>
      </c>
      <c r="F108" s="117">
        <v>444968</v>
      </c>
      <c r="G108" s="117">
        <v>514454</v>
      </c>
      <c r="H108" s="117">
        <v>555147</v>
      </c>
      <c r="I108" s="117">
        <v>605284</v>
      </c>
      <c r="J108" s="117">
        <v>658361</v>
      </c>
      <c r="K108" s="117">
        <v>704928</v>
      </c>
      <c r="L108" s="117">
        <v>744079</v>
      </c>
      <c r="M108" s="118">
        <v>786718</v>
      </c>
      <c r="Q108" s="125" t="s">
        <v>304</v>
      </c>
      <c r="R108" s="125">
        <v>12303</v>
      </c>
      <c r="S108" s="125">
        <v>22680</v>
      </c>
      <c r="T108" s="125">
        <v>16761</v>
      </c>
      <c r="U108" s="125">
        <v>29284</v>
      </c>
      <c r="V108" s="125">
        <v>45455</v>
      </c>
      <c r="W108" s="125">
        <v>58841</v>
      </c>
      <c r="X108" s="125">
        <v>72042</v>
      </c>
      <c r="Y108" s="125">
        <v>85160</v>
      </c>
      <c r="Z108" s="125">
        <v>92779</v>
      </c>
      <c r="AA108" s="125">
        <v>103799</v>
      </c>
      <c r="AB108" s="125">
        <v>112149</v>
      </c>
      <c r="AC108" s="116">
        <v>117566</v>
      </c>
    </row>
    <row r="109" spans="1:29" ht="32" x14ac:dyDescent="0.2">
      <c r="A109" s="116" t="s">
        <v>305</v>
      </c>
      <c r="B109" s="117">
        <v>46356</v>
      </c>
      <c r="C109" s="117">
        <v>117355</v>
      </c>
      <c r="D109" s="117">
        <v>164199</v>
      </c>
      <c r="E109" s="117">
        <v>187682</v>
      </c>
      <c r="F109" s="117">
        <v>219770</v>
      </c>
      <c r="G109" s="117">
        <v>264570</v>
      </c>
      <c r="H109" s="117">
        <v>375897</v>
      </c>
      <c r="I109" s="117">
        <v>464084</v>
      </c>
      <c r="J109" s="117">
        <v>513037</v>
      </c>
      <c r="K109" s="117">
        <v>554766</v>
      </c>
      <c r="L109" s="117">
        <v>593427</v>
      </c>
      <c r="M109" s="118">
        <v>636480</v>
      </c>
      <c r="Q109" s="125" t="s">
        <v>305</v>
      </c>
      <c r="R109" s="125">
        <v>10489</v>
      </c>
      <c r="S109" s="125">
        <v>29899</v>
      </c>
      <c r="T109" s="125">
        <v>47923</v>
      </c>
      <c r="U109" s="125">
        <v>79662</v>
      </c>
      <c r="V109" s="125">
        <v>86189</v>
      </c>
      <c r="W109" s="125">
        <v>103533</v>
      </c>
      <c r="X109" s="125">
        <v>127575</v>
      </c>
      <c r="Y109" s="125">
        <v>152046</v>
      </c>
      <c r="Z109" s="125">
        <v>169162</v>
      </c>
      <c r="AA109" s="125">
        <v>187809</v>
      </c>
      <c r="AB109" s="125">
        <v>208694</v>
      </c>
      <c r="AC109" s="116">
        <v>225390</v>
      </c>
    </row>
    <row r="110" spans="1:29" ht="32" x14ac:dyDescent="0.2">
      <c r="A110" s="116" t="s">
        <v>306</v>
      </c>
      <c r="B110" s="117">
        <v>232517</v>
      </c>
      <c r="C110" s="117">
        <v>307201.49</v>
      </c>
      <c r="D110" s="117">
        <v>422255.59</v>
      </c>
      <c r="E110" s="117">
        <v>547230.41</v>
      </c>
      <c r="F110" s="117">
        <v>588448</v>
      </c>
      <c r="G110" s="117">
        <v>691005</v>
      </c>
      <c r="H110" s="117">
        <v>878773</v>
      </c>
      <c r="I110" s="117">
        <v>913062</v>
      </c>
      <c r="J110" s="117">
        <v>1042035</v>
      </c>
      <c r="K110" s="117">
        <v>1093623</v>
      </c>
      <c r="L110" s="117">
        <v>1143669</v>
      </c>
      <c r="M110" s="118">
        <v>1277241</v>
      </c>
      <c r="Q110" s="125" t="s">
        <v>306</v>
      </c>
      <c r="R110" s="125">
        <v>16085.56</v>
      </c>
      <c r="S110" s="125">
        <v>21545.599999999999</v>
      </c>
      <c r="T110" s="125">
        <v>41169.980000000003</v>
      </c>
      <c r="U110" s="125">
        <v>57147.16</v>
      </c>
      <c r="V110" s="125">
        <v>73878</v>
      </c>
      <c r="W110" s="125">
        <v>90962</v>
      </c>
      <c r="X110" s="125">
        <v>111787</v>
      </c>
      <c r="Y110" s="125">
        <v>128691</v>
      </c>
      <c r="Z110" s="125">
        <v>143899</v>
      </c>
      <c r="AA110" s="125">
        <v>160428</v>
      </c>
      <c r="AB110" s="125">
        <v>176474</v>
      </c>
      <c r="AC110" s="116">
        <v>196118</v>
      </c>
    </row>
    <row r="111" spans="1:29" ht="32" x14ac:dyDescent="0.2">
      <c r="A111" s="116" t="s">
        <v>307</v>
      </c>
      <c r="B111" s="117">
        <v>11242.57</v>
      </c>
      <c r="C111" s="117">
        <v>74962.289999999994</v>
      </c>
      <c r="D111" s="117">
        <v>119588.36</v>
      </c>
      <c r="E111" s="117">
        <v>134530.29999999999</v>
      </c>
      <c r="F111" s="117">
        <v>144970.98000000001</v>
      </c>
      <c r="G111" s="117">
        <v>175347.54</v>
      </c>
      <c r="H111" s="117">
        <v>198910.89</v>
      </c>
      <c r="I111" s="117">
        <v>207985.49</v>
      </c>
      <c r="J111" s="117">
        <v>215395.79</v>
      </c>
      <c r="K111" s="117">
        <v>233890.65</v>
      </c>
      <c r="L111" s="117">
        <v>253991.39</v>
      </c>
      <c r="M111" s="118">
        <v>299384.92</v>
      </c>
      <c r="Q111" s="125" t="s">
        <v>307</v>
      </c>
      <c r="R111" s="125">
        <v>10956.73</v>
      </c>
      <c r="S111" s="125">
        <v>17383.63</v>
      </c>
      <c r="T111" s="125">
        <v>24142.98</v>
      </c>
      <c r="U111" s="125">
        <v>24577.58</v>
      </c>
      <c r="V111" s="125">
        <v>27606.7</v>
      </c>
      <c r="W111" s="125">
        <v>31473.57</v>
      </c>
      <c r="X111" s="125">
        <v>34560.160000000003</v>
      </c>
      <c r="Y111" s="125">
        <v>37197.07</v>
      </c>
      <c r="Z111" s="125">
        <v>39699.660000000003</v>
      </c>
      <c r="AA111" s="125">
        <v>40457.31</v>
      </c>
      <c r="AB111" s="125">
        <v>40546.480000000003</v>
      </c>
      <c r="AC111" s="116">
        <v>42351.64</v>
      </c>
    </row>
    <row r="112" spans="1:29" ht="32" x14ac:dyDescent="0.2">
      <c r="A112" s="116" t="s">
        <v>308</v>
      </c>
      <c r="B112" s="117">
        <v>117854</v>
      </c>
      <c r="C112" s="117">
        <v>175177</v>
      </c>
      <c r="D112" s="117">
        <v>289725</v>
      </c>
      <c r="E112" s="117">
        <v>357689</v>
      </c>
      <c r="F112" s="117">
        <v>424170</v>
      </c>
      <c r="G112" s="117">
        <v>514434</v>
      </c>
      <c r="H112" s="117">
        <v>607977</v>
      </c>
      <c r="I112" s="117">
        <v>705462</v>
      </c>
      <c r="J112" s="117">
        <v>778233</v>
      </c>
      <c r="K112" s="117">
        <v>873433</v>
      </c>
      <c r="L112" s="117">
        <v>947339</v>
      </c>
      <c r="M112" s="118">
        <v>1040261</v>
      </c>
      <c r="Q112" s="125" t="s">
        <v>308</v>
      </c>
      <c r="R112" s="125">
        <v>16945</v>
      </c>
      <c r="S112" s="125">
        <v>27978</v>
      </c>
      <c r="T112" s="125">
        <v>28440</v>
      </c>
      <c r="U112" s="125">
        <v>48842</v>
      </c>
      <c r="V112" s="125">
        <v>72709</v>
      </c>
      <c r="W112" s="125">
        <v>88415</v>
      </c>
      <c r="X112" s="125">
        <v>107300</v>
      </c>
      <c r="Y112" s="125">
        <v>127512</v>
      </c>
      <c r="Z112" s="125">
        <v>147307</v>
      </c>
      <c r="AA112" s="125">
        <v>164532</v>
      </c>
      <c r="AB112" s="125">
        <v>184111</v>
      </c>
      <c r="AC112" s="116">
        <v>205052</v>
      </c>
    </row>
    <row r="113" spans="1:29" ht="32" x14ac:dyDescent="0.2">
      <c r="A113" s="116" t="s">
        <v>309</v>
      </c>
      <c r="B113" s="117">
        <v>27174</v>
      </c>
      <c r="C113" s="117">
        <v>50856</v>
      </c>
      <c r="D113" s="117">
        <v>90455</v>
      </c>
      <c r="E113" s="117">
        <v>132149</v>
      </c>
      <c r="F113" s="117">
        <v>166005</v>
      </c>
      <c r="G113" s="117">
        <v>191742</v>
      </c>
      <c r="H113" s="117">
        <v>222260</v>
      </c>
      <c r="I113" s="117">
        <v>245758</v>
      </c>
      <c r="J113" s="117">
        <v>265089</v>
      </c>
      <c r="K113" s="117">
        <v>275755</v>
      </c>
      <c r="L113" s="117">
        <v>338184</v>
      </c>
      <c r="M113" s="118">
        <v>353920</v>
      </c>
      <c r="Q113" s="125" t="s">
        <v>309</v>
      </c>
      <c r="R113" s="125">
        <v>9037</v>
      </c>
      <c r="S113" s="125">
        <v>14724</v>
      </c>
      <c r="T113" s="125">
        <v>18244</v>
      </c>
      <c r="U113" s="125">
        <v>22606</v>
      </c>
      <c r="V113" s="125">
        <v>31424</v>
      </c>
      <c r="W113" s="125">
        <v>36893</v>
      </c>
      <c r="X113" s="125">
        <v>42216</v>
      </c>
      <c r="Y113" s="125">
        <v>48861</v>
      </c>
      <c r="Z113" s="125">
        <v>55182</v>
      </c>
      <c r="AA113" s="125">
        <v>59467</v>
      </c>
      <c r="AB113" s="125">
        <v>64838</v>
      </c>
      <c r="AC113" s="116">
        <v>68810</v>
      </c>
    </row>
    <row r="114" spans="1:29" ht="32" x14ac:dyDescent="0.2">
      <c r="A114" s="116" t="s">
        <v>310</v>
      </c>
      <c r="B114" s="117">
        <v>53009</v>
      </c>
      <c r="C114" s="117">
        <v>131629</v>
      </c>
      <c r="D114" s="117">
        <v>225419</v>
      </c>
      <c r="E114" s="117">
        <v>270572</v>
      </c>
      <c r="F114" s="117">
        <v>333043</v>
      </c>
      <c r="G114" s="117">
        <v>412102</v>
      </c>
      <c r="H114" s="117">
        <v>505509</v>
      </c>
      <c r="I114" s="117">
        <v>549430</v>
      </c>
      <c r="J114" s="117">
        <v>596827</v>
      </c>
      <c r="K114" s="117">
        <v>635469</v>
      </c>
      <c r="L114" s="117">
        <v>688417</v>
      </c>
      <c r="M114" s="118">
        <v>799408</v>
      </c>
      <c r="Q114" s="125" t="s">
        <v>310</v>
      </c>
      <c r="R114" s="125">
        <v>11792</v>
      </c>
      <c r="S114" s="125">
        <v>23654</v>
      </c>
      <c r="T114" s="125">
        <v>32944</v>
      </c>
      <c r="U114" s="125">
        <v>53726</v>
      </c>
      <c r="V114" s="125">
        <v>69341</v>
      </c>
      <c r="W114" s="125">
        <v>90349</v>
      </c>
      <c r="X114" s="125">
        <v>108578</v>
      </c>
      <c r="Y114" s="125">
        <v>110316</v>
      </c>
      <c r="Z114" s="125">
        <v>129143</v>
      </c>
      <c r="AA114" s="125">
        <v>153552</v>
      </c>
      <c r="AB114" s="125">
        <v>184039</v>
      </c>
      <c r="AC114" s="116">
        <v>205562</v>
      </c>
    </row>
    <row r="115" spans="1:29" ht="32" x14ac:dyDescent="0.2">
      <c r="A115" s="116" t="s">
        <v>311</v>
      </c>
      <c r="B115" s="117">
        <v>267911</v>
      </c>
      <c r="C115" s="117">
        <v>327447</v>
      </c>
      <c r="D115" s="117">
        <v>466526</v>
      </c>
      <c r="E115" s="117">
        <v>713289</v>
      </c>
      <c r="F115" s="117">
        <v>801555</v>
      </c>
      <c r="G115" s="117">
        <v>1037155</v>
      </c>
      <c r="H115" s="117">
        <v>1495542</v>
      </c>
      <c r="I115" s="117">
        <v>1583575</v>
      </c>
      <c r="J115" s="117">
        <v>1815813</v>
      </c>
      <c r="K115" s="117">
        <v>1949692</v>
      </c>
      <c r="L115" s="117">
        <v>2286212</v>
      </c>
      <c r="M115" s="118">
        <v>2516535</v>
      </c>
      <c r="Q115" s="125" t="s">
        <v>311</v>
      </c>
      <c r="R115" s="125">
        <v>50839</v>
      </c>
      <c r="S115" s="125">
        <v>100485</v>
      </c>
      <c r="T115" s="125">
        <v>155576</v>
      </c>
      <c r="U115" s="125">
        <v>189063</v>
      </c>
      <c r="V115" s="125">
        <v>235539</v>
      </c>
      <c r="W115" s="125">
        <v>314476</v>
      </c>
      <c r="X115" s="125">
        <v>378135</v>
      </c>
      <c r="Y115" s="125">
        <v>401479</v>
      </c>
      <c r="Z115" s="125">
        <v>477075</v>
      </c>
      <c r="AA115" s="125">
        <v>526552</v>
      </c>
      <c r="AB115" s="125">
        <v>576943</v>
      </c>
      <c r="AC115" s="116">
        <v>620120</v>
      </c>
    </row>
    <row r="116" spans="1:29" ht="32" x14ac:dyDescent="0.2">
      <c r="A116" s="116" t="s">
        <v>312</v>
      </c>
      <c r="B116" s="117">
        <v>339247</v>
      </c>
      <c r="C116" s="117">
        <v>505822</v>
      </c>
      <c r="D116" s="117">
        <v>650725</v>
      </c>
      <c r="E116" s="117">
        <v>806852</v>
      </c>
      <c r="F116" s="117">
        <v>930529</v>
      </c>
      <c r="G116" s="117">
        <v>1087006</v>
      </c>
      <c r="H116" s="117">
        <v>1216962</v>
      </c>
      <c r="I116" s="117">
        <v>1370620</v>
      </c>
      <c r="J116" s="117">
        <v>1517312</v>
      </c>
      <c r="K116" s="117">
        <v>1695933</v>
      </c>
      <c r="L116" s="117">
        <v>1955134</v>
      </c>
      <c r="M116" s="118">
        <v>2157408</v>
      </c>
      <c r="Q116" s="125" t="s">
        <v>312</v>
      </c>
      <c r="R116" s="125">
        <v>64395</v>
      </c>
      <c r="S116" s="125">
        <v>113606</v>
      </c>
      <c r="T116" s="125">
        <v>167999</v>
      </c>
      <c r="U116" s="125">
        <v>233767</v>
      </c>
      <c r="V116" s="125">
        <v>288500</v>
      </c>
      <c r="W116" s="125">
        <v>333991</v>
      </c>
      <c r="X116" s="125">
        <v>396554</v>
      </c>
      <c r="Y116" s="125">
        <v>452574</v>
      </c>
      <c r="Z116" s="125">
        <v>501984</v>
      </c>
      <c r="AA116" s="125">
        <v>544996</v>
      </c>
      <c r="AB116" s="125">
        <v>609874</v>
      </c>
      <c r="AC116" s="116">
        <v>654250</v>
      </c>
    </row>
    <row r="117" spans="1:29" ht="32" x14ac:dyDescent="0.2">
      <c r="A117" s="116" t="s">
        <v>313</v>
      </c>
      <c r="B117" s="117">
        <v>108770</v>
      </c>
      <c r="C117" s="117">
        <v>180869</v>
      </c>
      <c r="D117" s="117">
        <v>249698</v>
      </c>
      <c r="E117" s="117">
        <v>302519</v>
      </c>
      <c r="F117" s="117">
        <v>353209</v>
      </c>
      <c r="G117" s="117">
        <v>410151</v>
      </c>
      <c r="H117" s="117">
        <v>470376</v>
      </c>
      <c r="I117" s="117">
        <v>570908</v>
      </c>
      <c r="J117" s="117">
        <v>624856</v>
      </c>
      <c r="K117" s="117">
        <v>703771</v>
      </c>
      <c r="L117" s="117">
        <v>750164</v>
      </c>
      <c r="M117" s="118">
        <v>873487</v>
      </c>
      <c r="Q117" s="125" t="s">
        <v>313</v>
      </c>
      <c r="R117" s="125">
        <v>14297</v>
      </c>
      <c r="S117" s="125">
        <v>28494</v>
      </c>
      <c r="T117" s="125">
        <v>43941</v>
      </c>
      <c r="U117" s="125">
        <v>55371</v>
      </c>
      <c r="V117" s="125">
        <v>69398</v>
      </c>
      <c r="W117" s="125">
        <v>85075</v>
      </c>
      <c r="X117" s="125">
        <v>96105</v>
      </c>
      <c r="Y117" s="125">
        <v>87845</v>
      </c>
      <c r="Z117" s="125">
        <v>79469</v>
      </c>
      <c r="AA117" s="125">
        <v>20841</v>
      </c>
      <c r="AB117" s="125">
        <v>10353</v>
      </c>
      <c r="AC117" s="116">
        <v>1237</v>
      </c>
    </row>
    <row r="118" spans="1:29" ht="32" x14ac:dyDescent="0.2">
      <c r="A118" s="116" t="s">
        <v>314</v>
      </c>
      <c r="B118" s="117">
        <v>23700</v>
      </c>
      <c r="C118" s="117">
        <v>58964</v>
      </c>
      <c r="D118" s="117">
        <v>99442</v>
      </c>
      <c r="E118" s="117">
        <v>121196</v>
      </c>
      <c r="F118" s="117">
        <v>149709</v>
      </c>
      <c r="G118" s="117">
        <v>187705</v>
      </c>
      <c r="H118" s="117">
        <v>248631</v>
      </c>
      <c r="I118" s="117">
        <v>273730</v>
      </c>
      <c r="J118" s="117">
        <v>368096</v>
      </c>
      <c r="K118" s="117">
        <v>414170</v>
      </c>
      <c r="L118" s="117">
        <v>438751</v>
      </c>
      <c r="M118" s="118">
        <v>487558</v>
      </c>
      <c r="Q118" s="125" t="s">
        <v>314</v>
      </c>
      <c r="R118" s="125">
        <v>5740</v>
      </c>
      <c r="S118" s="125">
        <v>11208</v>
      </c>
      <c r="T118" s="125">
        <v>15811</v>
      </c>
      <c r="U118" s="125">
        <v>22887</v>
      </c>
      <c r="V118" s="125">
        <v>30835</v>
      </c>
      <c r="W118" s="125">
        <v>36107</v>
      </c>
      <c r="X118" s="125">
        <v>40611</v>
      </c>
      <c r="Y118" s="125">
        <v>47397</v>
      </c>
      <c r="Z118" s="125">
        <v>50277</v>
      </c>
      <c r="AA118" s="125">
        <v>55141</v>
      </c>
      <c r="AB118" s="125">
        <v>61757</v>
      </c>
      <c r="AC118" s="116">
        <v>5609</v>
      </c>
    </row>
    <row r="119" spans="1:29" ht="32" x14ac:dyDescent="0.2">
      <c r="A119" s="116" t="s">
        <v>315</v>
      </c>
      <c r="B119" s="117">
        <v>94745</v>
      </c>
      <c r="C119" s="117">
        <v>232013</v>
      </c>
      <c r="D119" s="117">
        <v>323916</v>
      </c>
      <c r="E119" s="117">
        <v>536983</v>
      </c>
      <c r="F119" s="117">
        <v>649912</v>
      </c>
      <c r="G119" s="117">
        <v>768689</v>
      </c>
      <c r="H119" s="117">
        <v>898633</v>
      </c>
      <c r="I119" s="117">
        <v>986095</v>
      </c>
      <c r="J119" s="117">
        <v>1328962</v>
      </c>
      <c r="K119" s="117">
        <v>1460267</v>
      </c>
      <c r="L119" s="117">
        <v>1554681</v>
      </c>
      <c r="M119" s="118">
        <v>1899842</v>
      </c>
      <c r="Q119" s="125" t="s">
        <v>315</v>
      </c>
      <c r="R119" s="125">
        <v>67140</v>
      </c>
      <c r="S119" s="125">
        <v>98904</v>
      </c>
      <c r="T119" s="125">
        <v>155120</v>
      </c>
      <c r="U119" s="125">
        <v>211350</v>
      </c>
      <c r="V119" s="125">
        <v>268318</v>
      </c>
      <c r="W119" s="125">
        <v>324504</v>
      </c>
      <c r="X119" s="125">
        <v>370742</v>
      </c>
      <c r="Y119" s="125">
        <v>430479</v>
      </c>
      <c r="Z119" s="125">
        <v>442320</v>
      </c>
      <c r="AA119" s="125">
        <v>506728</v>
      </c>
      <c r="AB119" s="125">
        <v>557977</v>
      </c>
      <c r="AC119" s="116">
        <v>579098</v>
      </c>
    </row>
    <row r="120" spans="1:29" ht="32" x14ac:dyDescent="0.2">
      <c r="A120" s="116" t="s">
        <v>316</v>
      </c>
      <c r="B120" s="117">
        <v>84376</v>
      </c>
      <c r="C120" s="117">
        <v>138920</v>
      </c>
      <c r="D120" s="117">
        <v>200964</v>
      </c>
      <c r="E120" s="117">
        <v>312972</v>
      </c>
      <c r="F120" s="117">
        <v>369164</v>
      </c>
      <c r="G120" s="117">
        <v>456678</v>
      </c>
      <c r="H120" s="117">
        <v>520211</v>
      </c>
      <c r="I120" s="117">
        <v>581607</v>
      </c>
      <c r="J120" s="117">
        <v>641834</v>
      </c>
      <c r="K120" s="117">
        <v>706243</v>
      </c>
      <c r="L120" s="117">
        <v>776662</v>
      </c>
      <c r="M120" s="118" t="s">
        <v>317</v>
      </c>
      <c r="Q120" s="125" t="s">
        <v>316</v>
      </c>
      <c r="R120" s="125">
        <v>24222</v>
      </c>
      <c r="S120" s="125">
        <v>45398</v>
      </c>
      <c r="T120" s="125">
        <v>79813</v>
      </c>
      <c r="U120" s="125">
        <v>107079</v>
      </c>
      <c r="V120" s="125">
        <v>141377</v>
      </c>
      <c r="W120" s="125">
        <v>175478</v>
      </c>
      <c r="X120" s="125">
        <v>210882</v>
      </c>
      <c r="Y120" s="125">
        <v>241569</v>
      </c>
      <c r="Z120" s="125">
        <v>266812</v>
      </c>
      <c r="AA120" s="125">
        <v>312924</v>
      </c>
      <c r="AB120" s="125">
        <v>350047</v>
      </c>
      <c r="AC120" s="116" t="s">
        <v>318</v>
      </c>
    </row>
    <row r="121" spans="1:29" ht="32" x14ac:dyDescent="0.2">
      <c r="A121" s="116" t="s">
        <v>319</v>
      </c>
      <c r="B121" s="117">
        <v>107938</v>
      </c>
      <c r="C121" s="117">
        <v>286059</v>
      </c>
      <c r="D121" s="117">
        <v>359941</v>
      </c>
      <c r="E121" s="117">
        <v>391635</v>
      </c>
      <c r="F121" s="117">
        <v>434128</v>
      </c>
      <c r="G121" s="117">
        <v>470680</v>
      </c>
      <c r="H121" s="117">
        <v>516352</v>
      </c>
      <c r="I121" s="117">
        <v>572089</v>
      </c>
      <c r="J121" s="117">
        <v>604448</v>
      </c>
      <c r="K121" s="117">
        <v>658742</v>
      </c>
      <c r="L121" s="117">
        <v>689348</v>
      </c>
      <c r="M121" s="118">
        <v>717545</v>
      </c>
      <c r="Q121" s="125" t="s">
        <v>319</v>
      </c>
      <c r="R121" s="125">
        <v>3006</v>
      </c>
      <c r="S121" s="125">
        <v>2533</v>
      </c>
      <c r="T121" s="125">
        <v>2088</v>
      </c>
      <c r="U121" s="125">
        <v>13319</v>
      </c>
      <c r="V121" s="125">
        <v>10988</v>
      </c>
      <c r="W121" s="125">
        <v>12013</v>
      </c>
      <c r="X121" s="125">
        <v>-8369</v>
      </c>
      <c r="Y121" s="125">
        <v>-2425</v>
      </c>
      <c r="Z121" s="125">
        <v>-2203</v>
      </c>
      <c r="AA121" s="125">
        <v>-7089</v>
      </c>
      <c r="AB121" s="125">
        <v>-8134</v>
      </c>
      <c r="AC121" s="116">
        <v>-13498</v>
      </c>
    </row>
    <row r="122" spans="1:29" ht="32" x14ac:dyDescent="0.2">
      <c r="A122" s="116" t="s">
        <v>320</v>
      </c>
      <c r="B122" s="117">
        <v>448370</v>
      </c>
      <c r="C122" s="117">
        <v>699077</v>
      </c>
      <c r="D122" s="117">
        <v>1287644</v>
      </c>
      <c r="E122" s="117">
        <v>1504721</v>
      </c>
      <c r="F122" s="117">
        <v>1785931</v>
      </c>
      <c r="G122" s="117">
        <v>2016316</v>
      </c>
      <c r="H122" s="117">
        <v>2323088</v>
      </c>
      <c r="I122" s="117">
        <v>2572382</v>
      </c>
      <c r="J122" s="117">
        <v>2820951</v>
      </c>
      <c r="K122" s="117">
        <v>3098038</v>
      </c>
      <c r="L122" s="117">
        <v>3374227</v>
      </c>
      <c r="M122" s="118">
        <v>3755446</v>
      </c>
      <c r="Q122" s="125" t="s">
        <v>320</v>
      </c>
      <c r="R122" s="125">
        <v>27109</v>
      </c>
      <c r="S122" s="125">
        <v>48911</v>
      </c>
      <c r="T122" s="125">
        <v>88084</v>
      </c>
      <c r="U122" s="125">
        <v>116023</v>
      </c>
      <c r="V122" s="125">
        <v>155327</v>
      </c>
      <c r="W122" s="125">
        <v>187543</v>
      </c>
      <c r="X122" s="125">
        <v>224239</v>
      </c>
      <c r="Y122" s="125">
        <v>249438</v>
      </c>
      <c r="Z122" s="125">
        <v>275484</v>
      </c>
      <c r="AA122" s="125">
        <v>301984</v>
      </c>
      <c r="AB122" s="125">
        <v>340188</v>
      </c>
      <c r="AC122" s="116">
        <v>341852</v>
      </c>
    </row>
    <row r="123" spans="1:29" ht="16" x14ac:dyDescent="0.2">
      <c r="B123" s="125" t="s">
        <v>172</v>
      </c>
      <c r="C123" s="125" t="s">
        <v>173</v>
      </c>
      <c r="D123" s="125" t="s">
        <v>174</v>
      </c>
      <c r="E123" s="125" t="s">
        <v>175</v>
      </c>
      <c r="F123" s="125" t="s">
        <v>176</v>
      </c>
      <c r="G123" s="125" t="s">
        <v>177</v>
      </c>
      <c r="H123" s="125" t="s">
        <v>178</v>
      </c>
      <c r="I123" s="125" t="s">
        <v>179</v>
      </c>
      <c r="J123" s="125" t="s">
        <v>180</v>
      </c>
      <c r="K123" s="125" t="s">
        <v>181</v>
      </c>
      <c r="L123" s="125" t="s">
        <v>182</v>
      </c>
      <c r="M123" s="116" t="s">
        <v>183</v>
      </c>
      <c r="R123" s="125" t="s">
        <v>172</v>
      </c>
      <c r="S123" s="125" t="s">
        <v>173</v>
      </c>
      <c r="T123" s="125" t="s">
        <v>174</v>
      </c>
      <c r="U123" s="125" t="s">
        <v>175</v>
      </c>
      <c r="V123" s="125" t="s">
        <v>176</v>
      </c>
      <c r="W123" s="125" t="s">
        <v>177</v>
      </c>
      <c r="X123" s="125" t="s">
        <v>178</v>
      </c>
      <c r="Y123" s="125" t="s">
        <v>179</v>
      </c>
      <c r="Z123" s="125" t="s">
        <v>180</v>
      </c>
      <c r="AA123" s="125" t="s">
        <v>181</v>
      </c>
      <c r="AB123" s="125" t="s">
        <v>182</v>
      </c>
      <c r="AC123" s="116" t="s">
        <v>183</v>
      </c>
    </row>
    <row r="124" spans="1:29" ht="16" x14ac:dyDescent="0.2">
      <c r="A124" s="123" t="s">
        <v>6</v>
      </c>
      <c r="B124" s="124">
        <f>SUM(B50:B122)</f>
        <v>10864971.640000001</v>
      </c>
      <c r="C124" s="124">
        <f>SUM(C50:C122)</f>
        <v>18988478.589999996</v>
      </c>
      <c r="D124" s="124">
        <f t="shared" ref="D124:M124" si="0">SUM(D50:D122)</f>
        <v>27054983.190000001</v>
      </c>
      <c r="E124" s="124">
        <f t="shared" si="0"/>
        <v>37185501.650000006</v>
      </c>
      <c r="F124" s="124">
        <f t="shared" si="0"/>
        <v>43343437.350000001</v>
      </c>
      <c r="G124" s="124">
        <f t="shared" si="0"/>
        <v>52451782.909999996</v>
      </c>
      <c r="H124" s="124">
        <f t="shared" si="0"/>
        <v>60768948.280000001</v>
      </c>
      <c r="I124" s="124">
        <f t="shared" si="0"/>
        <v>67886037.790000007</v>
      </c>
      <c r="J124" s="124">
        <f t="shared" si="0"/>
        <v>75477107.180000007</v>
      </c>
      <c r="K124" s="124">
        <f t="shared" si="0"/>
        <v>86166986.010000005</v>
      </c>
      <c r="L124" s="124">
        <f t="shared" si="0"/>
        <v>89124667.410000011</v>
      </c>
      <c r="M124" s="124">
        <f t="shared" si="0"/>
        <v>104969960.89999999</v>
      </c>
      <c r="Q124" s="125" t="s">
        <v>185</v>
      </c>
      <c r="R124" s="124">
        <f>SUM(R49:R122)</f>
        <v>1428193.4000000001</v>
      </c>
      <c r="S124" s="124">
        <f t="shared" ref="S124:AC124" si="1">SUM(S49:S122)</f>
        <v>3343314.08</v>
      </c>
      <c r="T124" s="124">
        <f t="shared" si="1"/>
        <v>5157118.74</v>
      </c>
      <c r="U124" s="124">
        <f t="shared" si="1"/>
        <v>7370586.669999999</v>
      </c>
      <c r="V124" s="124">
        <f t="shared" si="1"/>
        <v>9228888.1199999992</v>
      </c>
      <c r="W124" s="124">
        <f t="shared" si="1"/>
        <v>11134301.02</v>
      </c>
      <c r="X124" s="124">
        <f t="shared" si="1"/>
        <v>13126813.649999999</v>
      </c>
      <c r="Y124" s="124">
        <f t="shared" si="1"/>
        <v>15212020.960000001</v>
      </c>
      <c r="Z124" s="124">
        <f t="shared" si="1"/>
        <v>17052225.239999998</v>
      </c>
      <c r="AA124" s="124">
        <f t="shared" si="1"/>
        <v>20342628.77</v>
      </c>
      <c r="AB124" s="124">
        <f t="shared" si="1"/>
        <v>20560916.779999997</v>
      </c>
      <c r="AC124" s="124">
        <f t="shared" si="1"/>
        <v>21006545.710000001</v>
      </c>
    </row>
    <row r="126" spans="1:29" x14ac:dyDescent="0.2">
      <c r="B126" t="s">
        <v>172</v>
      </c>
      <c r="C126" t="s">
        <v>173</v>
      </c>
      <c r="D126" t="s">
        <v>174</v>
      </c>
      <c r="E126" t="s">
        <v>175</v>
      </c>
      <c r="F126" t="s">
        <v>176</v>
      </c>
      <c r="G126" s="47" t="s">
        <v>177</v>
      </c>
      <c r="H126" t="s">
        <v>178</v>
      </c>
      <c r="I126" t="s">
        <v>179</v>
      </c>
      <c r="J126" t="s">
        <v>180</v>
      </c>
      <c r="K126" s="51" t="s">
        <v>181</v>
      </c>
      <c r="L126" s="47" t="s">
        <v>182</v>
      </c>
      <c r="M126" t="s">
        <v>183</v>
      </c>
      <c r="R126" t="s">
        <v>172</v>
      </c>
      <c r="S126" t="s">
        <v>173</v>
      </c>
      <c r="T126" t="s">
        <v>174</v>
      </c>
      <c r="U126" t="s">
        <v>175</v>
      </c>
      <c r="V126" t="s">
        <v>176</v>
      </c>
      <c r="W126" t="s">
        <v>177</v>
      </c>
      <c r="X126" t="s">
        <v>178</v>
      </c>
      <c r="Y126" t="s">
        <v>179</v>
      </c>
      <c r="Z126" t="s">
        <v>180</v>
      </c>
      <c r="AA126" t="s">
        <v>181</v>
      </c>
      <c r="AB126" t="s">
        <v>182</v>
      </c>
      <c r="AC126" t="s">
        <v>183</v>
      </c>
    </row>
    <row r="127" spans="1:29" x14ac:dyDescent="0.2">
      <c r="B127" s="125">
        <v>10864971.640000001</v>
      </c>
      <c r="C127" s="125">
        <v>18988478.589999996</v>
      </c>
      <c r="D127" s="125">
        <v>27054983.190000001</v>
      </c>
      <c r="E127" s="125">
        <v>37185501.650000006</v>
      </c>
      <c r="F127" s="125">
        <v>43343437.350000001</v>
      </c>
      <c r="G127" s="125">
        <v>52451782.909999996</v>
      </c>
      <c r="H127" s="125">
        <v>60768948.280000001</v>
      </c>
      <c r="I127" s="125">
        <v>67886037.790000007</v>
      </c>
      <c r="J127" s="125">
        <v>75477107.180000007</v>
      </c>
      <c r="K127" s="125">
        <v>86166986.010000005</v>
      </c>
      <c r="L127" s="125">
        <v>89124667.410000011</v>
      </c>
      <c r="M127" s="116">
        <v>104969960.89999999</v>
      </c>
      <c r="R127">
        <v>1428193.4000000001</v>
      </c>
      <c r="S127">
        <v>3343314.08</v>
      </c>
      <c r="T127">
        <v>5157118.74</v>
      </c>
      <c r="U127">
        <v>7370586.669999999</v>
      </c>
      <c r="V127">
        <v>9228888.1199999992</v>
      </c>
      <c r="W127">
        <v>11134301.02</v>
      </c>
      <c r="X127">
        <v>13126813.649999999</v>
      </c>
      <c r="Y127">
        <v>15212020.960000001</v>
      </c>
      <c r="Z127">
        <v>17052225.239999998</v>
      </c>
      <c r="AA127">
        <v>20342628.77</v>
      </c>
      <c r="AB127">
        <v>20560916.779999997</v>
      </c>
      <c r="AC127">
        <v>21006545.710000001</v>
      </c>
    </row>
    <row r="128" spans="1:29" x14ac:dyDescent="0.2">
      <c r="B128" s="124"/>
      <c r="C128" s="124" t="s">
        <v>321</v>
      </c>
      <c r="D128" s="124" t="s">
        <v>243</v>
      </c>
      <c r="E128" s="124"/>
      <c r="F128" s="124"/>
      <c r="G128" s="124"/>
      <c r="H128" s="124"/>
      <c r="I128" s="124"/>
      <c r="J128" s="124"/>
      <c r="K128" s="124"/>
      <c r="L128" s="124"/>
      <c r="M128" s="124"/>
    </row>
    <row r="129" spans="2:19" x14ac:dyDescent="0.2">
      <c r="B129" t="s">
        <v>172</v>
      </c>
      <c r="C129" s="125">
        <v>10864971.640000001</v>
      </c>
      <c r="D129" s="128">
        <v>1428193.4000000001</v>
      </c>
      <c r="R129" s="128" t="s">
        <v>172</v>
      </c>
      <c r="S129" s="128">
        <v>1428193.4000000001</v>
      </c>
    </row>
    <row r="130" spans="2:19" x14ac:dyDescent="0.2">
      <c r="B130" t="s">
        <v>173</v>
      </c>
      <c r="C130" s="125">
        <v>18988478.589999996</v>
      </c>
      <c r="D130" s="128">
        <v>3343314.08</v>
      </c>
      <c r="R130" s="128" t="s">
        <v>173</v>
      </c>
      <c r="S130" s="128">
        <v>3343314.08</v>
      </c>
    </row>
    <row r="131" spans="2:19" x14ac:dyDescent="0.2">
      <c r="B131" t="s">
        <v>174</v>
      </c>
      <c r="C131" s="125">
        <v>27054983.190000001</v>
      </c>
      <c r="D131" s="128">
        <v>5157118.74</v>
      </c>
      <c r="R131" s="128" t="s">
        <v>174</v>
      </c>
      <c r="S131" s="128">
        <v>5157118.74</v>
      </c>
    </row>
    <row r="132" spans="2:19" x14ac:dyDescent="0.2">
      <c r="B132" t="s">
        <v>175</v>
      </c>
      <c r="C132" s="125">
        <v>37185501.650000006</v>
      </c>
      <c r="D132" s="128">
        <v>7370586.669999999</v>
      </c>
      <c r="R132" s="128" t="s">
        <v>175</v>
      </c>
      <c r="S132" s="128">
        <v>7370586.669999999</v>
      </c>
    </row>
    <row r="133" spans="2:19" x14ac:dyDescent="0.2">
      <c r="B133" t="s">
        <v>176</v>
      </c>
      <c r="C133" s="125">
        <v>43343437.350000001</v>
      </c>
      <c r="D133" s="128">
        <v>9228888.1199999992</v>
      </c>
      <c r="R133" s="128" t="s">
        <v>176</v>
      </c>
      <c r="S133" s="128">
        <v>9228888.1199999992</v>
      </c>
    </row>
    <row r="134" spans="2:19" x14ac:dyDescent="0.2">
      <c r="B134" s="47" t="s">
        <v>177</v>
      </c>
      <c r="C134" s="125">
        <v>52451782.909999996</v>
      </c>
      <c r="D134" s="128">
        <v>11134301.02</v>
      </c>
      <c r="R134" s="128" t="s">
        <v>177</v>
      </c>
      <c r="S134" s="128">
        <v>11134301.02</v>
      </c>
    </row>
    <row r="135" spans="2:19" x14ac:dyDescent="0.2">
      <c r="B135" t="s">
        <v>178</v>
      </c>
      <c r="C135" s="125">
        <v>60768948.280000001</v>
      </c>
      <c r="D135" s="128">
        <v>13126813.649999999</v>
      </c>
      <c r="R135" s="128" t="s">
        <v>178</v>
      </c>
      <c r="S135" s="128">
        <v>13126813.649999999</v>
      </c>
    </row>
    <row r="136" spans="2:19" x14ac:dyDescent="0.2">
      <c r="B136" t="s">
        <v>179</v>
      </c>
      <c r="C136" s="125">
        <v>67886037.790000007</v>
      </c>
      <c r="D136" s="128">
        <v>15212020.960000001</v>
      </c>
      <c r="R136" s="128" t="s">
        <v>179</v>
      </c>
      <c r="S136" s="128">
        <v>15212020.960000001</v>
      </c>
    </row>
    <row r="137" spans="2:19" x14ac:dyDescent="0.2">
      <c r="B137" t="s">
        <v>180</v>
      </c>
      <c r="C137" s="125">
        <v>75477107.180000007</v>
      </c>
      <c r="D137" s="128">
        <v>17052225.239999998</v>
      </c>
      <c r="R137" s="128" t="s">
        <v>180</v>
      </c>
      <c r="S137" s="128">
        <v>17052225.239999998</v>
      </c>
    </row>
    <row r="138" spans="2:19" x14ac:dyDescent="0.2">
      <c r="B138" s="51" t="s">
        <v>181</v>
      </c>
      <c r="C138" s="125">
        <v>86166986.010000005</v>
      </c>
      <c r="D138" s="128">
        <v>20342628.77</v>
      </c>
      <c r="R138" s="128" t="s">
        <v>181</v>
      </c>
      <c r="S138" s="128">
        <v>20342628.77</v>
      </c>
    </row>
    <row r="139" spans="2:19" x14ac:dyDescent="0.2">
      <c r="B139" s="47" t="s">
        <v>182</v>
      </c>
      <c r="C139" s="125">
        <v>89124667.410000011</v>
      </c>
      <c r="D139" s="128">
        <v>20560916.779999997</v>
      </c>
      <c r="R139" s="128" t="s">
        <v>182</v>
      </c>
      <c r="S139" s="128">
        <v>20560916.779999997</v>
      </c>
    </row>
    <row r="140" spans="2:19" x14ac:dyDescent="0.2">
      <c r="B140" t="s">
        <v>183</v>
      </c>
      <c r="C140" s="116">
        <v>104969960.89999999</v>
      </c>
      <c r="D140" s="128">
        <v>21006545.710000001</v>
      </c>
      <c r="R140" s="128" t="s">
        <v>183</v>
      </c>
      <c r="S140" s="128">
        <v>21006545.710000001</v>
      </c>
    </row>
    <row r="141" spans="2:19" x14ac:dyDescent="0.2">
      <c r="C141" s="128"/>
    </row>
    <row r="142" spans="2:19" x14ac:dyDescent="0.2">
      <c r="B142" s="51"/>
      <c r="C142" s="128"/>
    </row>
    <row r="143" spans="2:19" x14ac:dyDescent="0.2">
      <c r="B143" s="47"/>
      <c r="C143" s="128"/>
    </row>
    <row r="144" spans="2:19" x14ac:dyDescent="0.2">
      <c r="C144" s="128"/>
    </row>
    <row r="146" spans="4:4" x14ac:dyDescent="0.2">
      <c r="D146" s="124"/>
    </row>
  </sheetData>
  <sortState xmlns:xlrd2="http://schemas.microsoft.com/office/spreadsheetml/2017/richdata2" ref="F3:G73">
    <sortCondition descending="1" ref="G1:G7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2960-20B5-4ABB-9DCA-B09C0E4651CF}">
  <dimension ref="A1:Z48"/>
  <sheetViews>
    <sheetView topLeftCell="H11" zoomScale="68" workbookViewId="0">
      <selection activeCell="S29" sqref="S29"/>
    </sheetView>
  </sheetViews>
  <sheetFormatPr baseColWidth="10" defaultColWidth="8.83203125" defaultRowHeight="15" x14ac:dyDescent="0.2"/>
  <cols>
    <col min="1" max="1" width="29" customWidth="1"/>
    <col min="2" max="2" width="18.1640625" customWidth="1"/>
    <col min="4" max="4" width="27.33203125" customWidth="1"/>
    <col min="5" max="5" width="19.1640625" customWidth="1"/>
    <col min="15" max="15" width="13.5" bestFit="1" customWidth="1"/>
    <col min="16" max="16" width="29.6640625" bestFit="1" customWidth="1"/>
    <col min="17" max="24" width="14.5" bestFit="1" customWidth="1"/>
    <col min="25" max="26" width="12.33203125" bestFit="1" customWidth="1"/>
  </cols>
  <sheetData>
    <row r="1" spans="1:26" x14ac:dyDescent="0.2">
      <c r="A1" t="s">
        <v>322</v>
      </c>
    </row>
    <row r="2" spans="1:26" x14ac:dyDescent="0.2">
      <c r="A2" t="s">
        <v>323</v>
      </c>
      <c r="D2" t="s">
        <v>324</v>
      </c>
    </row>
    <row r="3" spans="1:26" x14ac:dyDescent="0.2">
      <c r="A3" t="s">
        <v>325</v>
      </c>
      <c r="B3" s="82">
        <v>67489922</v>
      </c>
      <c r="D3" t="s">
        <v>326</v>
      </c>
      <c r="E3" s="82">
        <v>20476373</v>
      </c>
    </row>
    <row r="4" spans="1:26" x14ac:dyDescent="0.2">
      <c r="A4" t="s">
        <v>326</v>
      </c>
      <c r="B4" s="82">
        <v>65469220</v>
      </c>
      <c r="D4" t="s">
        <v>325</v>
      </c>
      <c r="E4" s="82">
        <v>16327705</v>
      </c>
    </row>
    <row r="5" spans="1:26" x14ac:dyDescent="0.2">
      <c r="A5" t="s">
        <v>327</v>
      </c>
      <c r="B5" s="82">
        <v>61620463</v>
      </c>
      <c r="D5" t="s">
        <v>328</v>
      </c>
      <c r="E5" s="83">
        <v>8577438</v>
      </c>
    </row>
    <row r="6" spans="1:26" x14ac:dyDescent="0.2">
      <c r="A6" t="s">
        <v>329</v>
      </c>
      <c r="B6" s="82">
        <v>43970576</v>
      </c>
      <c r="D6" t="s">
        <v>330</v>
      </c>
      <c r="E6" s="83">
        <v>7752564</v>
      </c>
    </row>
    <row r="7" spans="1:26" x14ac:dyDescent="0.2">
      <c r="A7" t="s">
        <v>328</v>
      </c>
      <c r="B7" s="83">
        <v>42879916</v>
      </c>
      <c r="D7" t="s">
        <v>331</v>
      </c>
      <c r="E7" s="83">
        <v>7740307</v>
      </c>
    </row>
    <row r="8" spans="1:26" x14ac:dyDescent="0.2">
      <c r="A8" t="s">
        <v>332</v>
      </c>
      <c r="B8" s="82">
        <v>37268150</v>
      </c>
      <c r="D8" t="s">
        <v>333</v>
      </c>
      <c r="E8" s="83">
        <v>7730455</v>
      </c>
    </row>
    <row r="9" spans="1:26" x14ac:dyDescent="0.2">
      <c r="A9" t="s">
        <v>334</v>
      </c>
      <c r="B9" s="82">
        <v>31480786</v>
      </c>
      <c r="D9" t="s">
        <v>335</v>
      </c>
      <c r="E9" s="82">
        <v>6908443</v>
      </c>
    </row>
    <row r="10" spans="1:26" x14ac:dyDescent="0.2">
      <c r="A10" t="s">
        <v>336</v>
      </c>
      <c r="B10" s="82">
        <v>21692630</v>
      </c>
      <c r="D10" t="s">
        <v>337</v>
      </c>
      <c r="E10" s="83">
        <v>6878696</v>
      </c>
    </row>
    <row r="11" spans="1:26" x14ac:dyDescent="0.2">
      <c r="A11" t="s">
        <v>333</v>
      </c>
      <c r="B11" s="82">
        <v>19022469</v>
      </c>
      <c r="D11" t="s">
        <v>334</v>
      </c>
      <c r="E11" s="83">
        <v>5868578</v>
      </c>
      <c r="O11" t="s">
        <v>338</v>
      </c>
    </row>
    <row r="12" spans="1:26" x14ac:dyDescent="0.2">
      <c r="A12" s="59" t="s">
        <v>339</v>
      </c>
      <c r="B12" s="82">
        <v>15893999</v>
      </c>
      <c r="D12" s="59" t="s">
        <v>340</v>
      </c>
      <c r="E12" s="84">
        <v>5272974</v>
      </c>
      <c r="O12" t="s">
        <v>341</v>
      </c>
    </row>
    <row r="13" spans="1:26" x14ac:dyDescent="0.2">
      <c r="O13" t="s">
        <v>172</v>
      </c>
      <c r="P13" t="s">
        <v>173</v>
      </c>
      <c r="Q13" t="s">
        <v>174</v>
      </c>
      <c r="R13" t="s">
        <v>175</v>
      </c>
      <c r="S13" t="s">
        <v>176</v>
      </c>
      <c r="T13" t="s">
        <v>177</v>
      </c>
      <c r="U13" t="s">
        <v>178</v>
      </c>
      <c r="V13" t="s">
        <v>179</v>
      </c>
      <c r="W13" t="s">
        <v>180</v>
      </c>
      <c r="X13" t="s">
        <v>181</v>
      </c>
      <c r="Y13" t="s">
        <v>182</v>
      </c>
      <c r="Z13" t="s">
        <v>342</v>
      </c>
    </row>
    <row r="14" spans="1:26" x14ac:dyDescent="0.2">
      <c r="A14" t="s">
        <v>343</v>
      </c>
      <c r="D14" t="s">
        <v>344</v>
      </c>
      <c r="Q14" s="112">
        <v>155703134</v>
      </c>
      <c r="R14" s="112">
        <v>190370982</v>
      </c>
      <c r="S14" s="112">
        <v>213902695</v>
      </c>
      <c r="T14" s="112">
        <v>274294254</v>
      </c>
      <c r="U14" s="112">
        <v>318899911</v>
      </c>
      <c r="V14" s="112">
        <v>351303027</v>
      </c>
      <c r="W14" s="112">
        <v>388238159</v>
      </c>
      <c r="X14" s="112">
        <v>425347704</v>
      </c>
      <c r="Y14" s="112">
        <v>435058941.56999999</v>
      </c>
      <c r="Z14" s="113">
        <v>160216701.62</v>
      </c>
    </row>
    <row r="15" spans="1:26" x14ac:dyDescent="0.2">
      <c r="A15" t="s">
        <v>327</v>
      </c>
      <c r="B15" s="83">
        <v>21068976</v>
      </c>
      <c r="D15" t="s">
        <v>331</v>
      </c>
      <c r="E15" s="83">
        <v>808319</v>
      </c>
      <c r="O15" s="114">
        <v>599370.75</v>
      </c>
      <c r="P15" s="114">
        <v>3318124</v>
      </c>
      <c r="Q15" s="114">
        <v>4727011.09</v>
      </c>
      <c r="R15" s="114">
        <v>5215907.0199999996</v>
      </c>
      <c r="S15" s="114">
        <v>9038660.1199999992</v>
      </c>
      <c r="T15" s="114">
        <v>7962316.1799999997</v>
      </c>
      <c r="U15" s="114">
        <v>8861400.0399999991</v>
      </c>
      <c r="V15" s="114">
        <v>12080463.380000001</v>
      </c>
      <c r="W15" s="114">
        <v>11826213.4</v>
      </c>
      <c r="X15" s="114">
        <v>13722728.289999999</v>
      </c>
      <c r="Y15" s="114">
        <v>25220094.539999999</v>
      </c>
      <c r="Z15" s="114">
        <v>19312286.690000001</v>
      </c>
    </row>
    <row r="16" spans="1:26" x14ac:dyDescent="0.2">
      <c r="A16" t="s">
        <v>345</v>
      </c>
      <c r="B16" s="83">
        <v>18360186</v>
      </c>
      <c r="D16" t="s">
        <v>328</v>
      </c>
      <c r="E16" s="83">
        <v>539015</v>
      </c>
    </row>
    <row r="17" spans="1:26" x14ac:dyDescent="0.2">
      <c r="A17" t="s">
        <v>326</v>
      </c>
      <c r="B17" s="83">
        <v>13425536</v>
      </c>
      <c r="D17" t="s">
        <v>346</v>
      </c>
      <c r="E17" s="83">
        <v>231168</v>
      </c>
    </row>
    <row r="18" spans="1:26" x14ac:dyDescent="0.2">
      <c r="A18" t="s">
        <v>325</v>
      </c>
      <c r="B18" s="83">
        <v>10807795</v>
      </c>
      <c r="D18" t="s">
        <v>329</v>
      </c>
      <c r="E18" s="83">
        <v>186146</v>
      </c>
    </row>
    <row r="19" spans="1:26" x14ac:dyDescent="0.2">
      <c r="A19" t="s">
        <v>329</v>
      </c>
      <c r="B19" s="83">
        <v>9840824</v>
      </c>
      <c r="D19" t="s">
        <v>347</v>
      </c>
      <c r="E19" s="83">
        <v>49117</v>
      </c>
    </row>
    <row r="20" spans="1:26" x14ac:dyDescent="0.2">
      <c r="A20" t="s">
        <v>328</v>
      </c>
      <c r="B20" s="83">
        <v>9446261</v>
      </c>
      <c r="D20" t="s">
        <v>348</v>
      </c>
      <c r="E20" s="83">
        <v>45703</v>
      </c>
    </row>
    <row r="21" spans="1:26" x14ac:dyDescent="0.2">
      <c r="A21" t="s">
        <v>349</v>
      </c>
      <c r="B21" s="83">
        <v>5806484</v>
      </c>
      <c r="D21" t="s">
        <v>336</v>
      </c>
      <c r="E21" s="83">
        <v>28947</v>
      </c>
    </row>
    <row r="22" spans="1:26" x14ac:dyDescent="0.2">
      <c r="A22" t="s">
        <v>336</v>
      </c>
      <c r="B22" s="83">
        <v>5608710</v>
      </c>
      <c r="D22" t="s">
        <v>350</v>
      </c>
      <c r="E22" s="83">
        <v>22634</v>
      </c>
    </row>
    <row r="23" spans="1:26" x14ac:dyDescent="0.2">
      <c r="A23" t="s">
        <v>351</v>
      </c>
      <c r="B23" s="83">
        <v>4706020</v>
      </c>
      <c r="D23" t="s">
        <v>352</v>
      </c>
      <c r="E23" s="83">
        <v>19923</v>
      </c>
      <c r="O23" t="s">
        <v>338</v>
      </c>
    </row>
    <row r="24" spans="1:26" x14ac:dyDescent="0.2">
      <c r="A24" t="s">
        <v>353</v>
      </c>
      <c r="B24" s="83">
        <v>4452416</v>
      </c>
      <c r="D24" t="s">
        <v>354</v>
      </c>
      <c r="E24" s="83">
        <v>15345</v>
      </c>
      <c r="O24" t="s">
        <v>355</v>
      </c>
    </row>
    <row r="25" spans="1:26" x14ac:dyDescent="0.2">
      <c r="O25" t="s">
        <v>172</v>
      </c>
      <c r="P25" t="s">
        <v>173</v>
      </c>
      <c r="Q25" t="s">
        <v>174</v>
      </c>
      <c r="R25" t="s">
        <v>175</v>
      </c>
      <c r="S25" t="s">
        <v>176</v>
      </c>
      <c r="T25" t="s">
        <v>177</v>
      </c>
      <c r="U25" t="s">
        <v>178</v>
      </c>
      <c r="V25" t="s">
        <v>179</v>
      </c>
      <c r="W25" t="s">
        <v>180</v>
      </c>
      <c r="X25" t="s">
        <v>181</v>
      </c>
      <c r="Y25" t="s">
        <v>182</v>
      </c>
      <c r="Z25" t="s">
        <v>342</v>
      </c>
    </row>
    <row r="26" spans="1:26" x14ac:dyDescent="0.2">
      <c r="A26" t="s">
        <v>52</v>
      </c>
      <c r="D26" t="s">
        <v>356</v>
      </c>
    </row>
    <row r="27" spans="1:26" x14ac:dyDescent="0.2">
      <c r="A27" t="s">
        <v>327</v>
      </c>
      <c r="B27" s="83">
        <v>2085543</v>
      </c>
      <c r="D27" t="s">
        <v>357</v>
      </c>
      <c r="E27" s="55">
        <v>35.68</v>
      </c>
    </row>
    <row r="28" spans="1:26" x14ac:dyDescent="0.2">
      <c r="A28" t="s">
        <v>329</v>
      </c>
      <c r="B28" s="83">
        <v>1368041</v>
      </c>
      <c r="D28" t="s">
        <v>358</v>
      </c>
      <c r="E28" s="55">
        <v>27.39</v>
      </c>
    </row>
    <row r="29" spans="1:26" ht="32" x14ac:dyDescent="0.2">
      <c r="A29" t="s">
        <v>326</v>
      </c>
      <c r="B29" s="83">
        <v>1375352</v>
      </c>
      <c r="D29" t="s">
        <v>359</v>
      </c>
      <c r="E29" s="55">
        <v>17.32</v>
      </c>
      <c r="O29" s="2" t="s">
        <v>171</v>
      </c>
      <c r="P29" t="s">
        <v>360</v>
      </c>
      <c r="Q29" t="s">
        <v>361</v>
      </c>
    </row>
    <row r="30" spans="1:26" ht="16" x14ac:dyDescent="0.2">
      <c r="A30" t="s">
        <v>345</v>
      </c>
      <c r="B30" s="83">
        <v>1275427</v>
      </c>
      <c r="D30" t="s">
        <v>330</v>
      </c>
      <c r="E30" s="23">
        <v>13.8089</v>
      </c>
      <c r="O30" s="2" t="s">
        <v>172</v>
      </c>
      <c r="P30" s="112">
        <v>68420372</v>
      </c>
      <c r="Q30" s="115">
        <f>O15</f>
        <v>599370.75</v>
      </c>
    </row>
    <row r="31" spans="1:26" ht="16" x14ac:dyDescent="0.2">
      <c r="A31" t="s">
        <v>349</v>
      </c>
      <c r="B31" s="83">
        <v>992872</v>
      </c>
      <c r="D31" t="s">
        <v>362</v>
      </c>
      <c r="E31" s="23">
        <v>11.2485</v>
      </c>
      <c r="O31" s="2" t="s">
        <v>173</v>
      </c>
      <c r="P31" s="112">
        <v>114098319</v>
      </c>
      <c r="Q31" s="115">
        <f>P15</f>
        <v>3318124</v>
      </c>
    </row>
    <row r="32" spans="1:26" ht="16" x14ac:dyDescent="0.2">
      <c r="A32" t="s">
        <v>363</v>
      </c>
      <c r="B32" s="83">
        <v>775592</v>
      </c>
      <c r="D32" t="s">
        <v>340</v>
      </c>
      <c r="E32" s="55">
        <v>10.31</v>
      </c>
      <c r="O32" s="2" t="s">
        <v>174</v>
      </c>
      <c r="P32" s="115">
        <f>Q14</f>
        <v>155703134</v>
      </c>
      <c r="Q32" s="115">
        <f>Q15</f>
        <v>4727011.09</v>
      </c>
    </row>
    <row r="33" spans="1:17" ht="16" x14ac:dyDescent="0.2">
      <c r="A33" t="s">
        <v>328</v>
      </c>
      <c r="B33" s="83">
        <v>724039</v>
      </c>
      <c r="D33" t="s">
        <v>348</v>
      </c>
      <c r="E33" s="23">
        <v>9.9675999999999991</v>
      </c>
      <c r="O33" s="2" t="s">
        <v>175</v>
      </c>
      <c r="P33" s="115">
        <f>R14</f>
        <v>190370982</v>
      </c>
      <c r="Q33" s="115">
        <f>R15</f>
        <v>5215907.0199999996</v>
      </c>
    </row>
    <row r="34" spans="1:17" ht="16" x14ac:dyDescent="0.2">
      <c r="A34" t="s">
        <v>325</v>
      </c>
      <c r="B34" s="83">
        <v>689954</v>
      </c>
      <c r="D34" t="s">
        <v>337</v>
      </c>
      <c r="E34" s="23">
        <v>9.4298000000000002</v>
      </c>
      <c r="O34" s="2" t="s">
        <v>176</v>
      </c>
      <c r="P34" s="115">
        <f>S14</f>
        <v>213902695</v>
      </c>
      <c r="Q34" s="115">
        <f>S15</f>
        <v>9038660.1199999992</v>
      </c>
    </row>
    <row r="35" spans="1:17" ht="16" x14ac:dyDescent="0.2">
      <c r="A35" t="s">
        <v>334</v>
      </c>
      <c r="B35" s="83">
        <v>621220</v>
      </c>
      <c r="D35" t="s">
        <v>352</v>
      </c>
      <c r="E35" s="55">
        <v>9.1300000000000008</v>
      </c>
      <c r="O35" s="2" t="s">
        <v>177</v>
      </c>
      <c r="P35" s="115">
        <f>T14</f>
        <v>274294254</v>
      </c>
      <c r="Q35" s="115">
        <f>T15</f>
        <v>7962316.1799999997</v>
      </c>
    </row>
    <row r="36" spans="1:17" ht="16" x14ac:dyDescent="0.2">
      <c r="A36" t="s">
        <v>340</v>
      </c>
      <c r="B36" s="83">
        <v>559898</v>
      </c>
      <c r="D36" t="s">
        <v>364</v>
      </c>
      <c r="E36" s="23">
        <v>8.4940999999999995</v>
      </c>
      <c r="O36" s="2" t="s">
        <v>178</v>
      </c>
      <c r="P36" s="115">
        <f>U14</f>
        <v>318899911</v>
      </c>
      <c r="Q36" s="115">
        <f>U15</f>
        <v>8861400.0399999991</v>
      </c>
    </row>
    <row r="37" spans="1:17" ht="16" x14ac:dyDescent="0.2">
      <c r="O37" s="2" t="s">
        <v>179</v>
      </c>
      <c r="P37" s="115">
        <f>V14</f>
        <v>351303027</v>
      </c>
      <c r="Q37" s="115">
        <f>V15</f>
        <v>12080463.380000001</v>
      </c>
    </row>
    <row r="38" spans="1:17" ht="16" x14ac:dyDescent="0.2">
      <c r="A38" t="s">
        <v>365</v>
      </c>
      <c r="O38" s="2" t="s">
        <v>180</v>
      </c>
      <c r="P38" s="115">
        <f>W14</f>
        <v>388238159</v>
      </c>
      <c r="Q38" s="115">
        <f>W15</f>
        <v>11826213.4</v>
      </c>
    </row>
    <row r="39" spans="1:17" ht="16" x14ac:dyDescent="0.2">
      <c r="A39" t="s">
        <v>366</v>
      </c>
      <c r="B39" s="23">
        <v>11.8383</v>
      </c>
      <c r="O39" s="2" t="s">
        <v>181</v>
      </c>
      <c r="P39" s="115">
        <f>X14</f>
        <v>425347704</v>
      </c>
      <c r="Q39" s="115">
        <f>X15</f>
        <v>13722728.289999999</v>
      </c>
    </row>
    <row r="40" spans="1:17" ht="16" x14ac:dyDescent="0.2">
      <c r="A40" t="s">
        <v>367</v>
      </c>
      <c r="B40" s="55">
        <v>8.25</v>
      </c>
      <c r="O40" s="70" t="s">
        <v>182</v>
      </c>
      <c r="P40" s="115">
        <f>Y14</f>
        <v>435058941.56999999</v>
      </c>
      <c r="Q40" s="115">
        <f>Y15</f>
        <v>25220094.539999999</v>
      </c>
    </row>
    <row r="41" spans="1:17" ht="16" x14ac:dyDescent="0.2">
      <c r="A41" t="s">
        <v>368</v>
      </c>
      <c r="B41" s="23">
        <v>5.4127999999999998</v>
      </c>
      <c r="O41" s="65" t="s">
        <v>183</v>
      </c>
      <c r="P41" s="115">
        <f>Z14</f>
        <v>160216701.62</v>
      </c>
      <c r="Q41" s="115">
        <f>Z15</f>
        <v>19312286.690000001</v>
      </c>
    </row>
    <row r="42" spans="1:17" x14ac:dyDescent="0.2">
      <c r="A42" t="s">
        <v>369</v>
      </c>
      <c r="B42" s="23">
        <v>5.1360000000000001</v>
      </c>
    </row>
    <row r="43" spans="1:17" x14ac:dyDescent="0.2">
      <c r="A43" t="s">
        <v>370</v>
      </c>
      <c r="B43" s="23">
        <v>5.1169000000000002</v>
      </c>
    </row>
    <row r="44" spans="1:17" x14ac:dyDescent="0.2">
      <c r="A44" t="s">
        <v>371</v>
      </c>
      <c r="B44" s="23">
        <v>4.8358999999999996</v>
      </c>
    </row>
    <row r="45" spans="1:17" x14ac:dyDescent="0.2">
      <c r="A45" t="s">
        <v>352</v>
      </c>
      <c r="B45" s="55">
        <v>4.45</v>
      </c>
    </row>
    <row r="46" spans="1:17" x14ac:dyDescent="0.2">
      <c r="A46" t="s">
        <v>372</v>
      </c>
      <c r="B46" s="23">
        <v>3.6360000000000001</v>
      </c>
    </row>
    <row r="47" spans="1:17" x14ac:dyDescent="0.2">
      <c r="A47" t="s">
        <v>373</v>
      </c>
      <c r="B47" s="23">
        <v>3.548</v>
      </c>
    </row>
    <row r="48" spans="1:17" x14ac:dyDescent="0.2">
      <c r="A48" t="s">
        <v>348</v>
      </c>
      <c r="B48" s="23">
        <v>3.5121000000000002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03E0-3D69-4B0E-82C7-393FBC28636E}">
  <dimension ref="B2:AG32"/>
  <sheetViews>
    <sheetView topLeftCell="A7" zoomScale="53" workbookViewId="0">
      <selection activeCell="P9" sqref="P9"/>
    </sheetView>
  </sheetViews>
  <sheetFormatPr baseColWidth="10" defaultColWidth="8.83203125" defaultRowHeight="15" x14ac:dyDescent="0.2"/>
  <cols>
    <col min="4" max="4" width="16.5" customWidth="1"/>
    <col min="5" max="5" width="8.83203125" customWidth="1"/>
    <col min="6" max="6" width="6.83203125" customWidth="1"/>
    <col min="7" max="7" width="7.1640625" bestFit="1" customWidth="1"/>
    <col min="8" max="10" width="6.5" customWidth="1"/>
    <col min="11" max="11" width="6.5" bestFit="1" customWidth="1"/>
    <col min="12" max="12" width="6.6640625" customWidth="1"/>
    <col min="13" max="13" width="6.83203125" customWidth="1"/>
    <col min="14" max="14" width="11.5" bestFit="1" customWidth="1"/>
  </cols>
  <sheetData>
    <row r="2" spans="2:15" x14ac:dyDescent="0.2">
      <c r="C2" s="133">
        <v>45658</v>
      </c>
      <c r="D2" s="133">
        <v>45689</v>
      </c>
      <c r="E2" s="133">
        <v>45717</v>
      </c>
      <c r="F2" s="133">
        <v>45748</v>
      </c>
      <c r="G2" s="133" t="s">
        <v>374</v>
      </c>
      <c r="H2" s="133">
        <v>45809</v>
      </c>
      <c r="I2" s="133">
        <v>45839</v>
      </c>
      <c r="J2" t="s">
        <v>375</v>
      </c>
      <c r="K2" s="133">
        <v>45901</v>
      </c>
      <c r="L2" t="s">
        <v>376</v>
      </c>
      <c r="M2" s="133">
        <v>45962</v>
      </c>
      <c r="N2" t="s">
        <v>377</v>
      </c>
      <c r="O2" s="133">
        <v>46023</v>
      </c>
    </row>
    <row r="3" spans="2:15" x14ac:dyDescent="0.2">
      <c r="B3" t="s">
        <v>378</v>
      </c>
      <c r="C3" s="27">
        <v>0.05</v>
      </c>
      <c r="D3" s="29">
        <v>5.7500000000000002E-2</v>
      </c>
      <c r="E3" s="29">
        <v>5.7500000000000002E-2</v>
      </c>
      <c r="F3" s="29">
        <v>5.7500000000000002E-2</v>
      </c>
      <c r="G3" s="29">
        <v>5.5E-2</v>
      </c>
      <c r="H3" s="29">
        <v>5.5E-2</v>
      </c>
      <c r="I3" s="29">
        <v>5.2499999999999998E-2</v>
      </c>
      <c r="J3" s="27">
        <v>0.05</v>
      </c>
      <c r="K3" s="29">
        <v>4.7500000000000001E-2</v>
      </c>
      <c r="L3" s="29">
        <v>4.7500000000000001E-2</v>
      </c>
      <c r="M3" s="29">
        <v>4.7500000000000001E-2</v>
      </c>
      <c r="N3" s="23">
        <v>4.7500000000000001E-2</v>
      </c>
      <c r="O3" s="23">
        <v>4.7500000000000001E-2</v>
      </c>
    </row>
    <row r="4" spans="2:15" x14ac:dyDescent="0.2">
      <c r="B4" t="s">
        <v>379</v>
      </c>
      <c r="C4" s="29">
        <v>7.6E-3</v>
      </c>
      <c r="D4" s="28" t="s">
        <v>380</v>
      </c>
      <c r="E4" s="29">
        <v>1.03E-2</v>
      </c>
      <c r="F4" s="29">
        <v>1.95E-2</v>
      </c>
      <c r="G4" s="29">
        <v>1.6E-2</v>
      </c>
      <c r="H4" s="29">
        <v>1.8700000000000001E-2</v>
      </c>
      <c r="I4" s="29">
        <v>2.3699999999999999E-2</v>
      </c>
      <c r="J4" s="29">
        <v>2.3099999999999999E-2</v>
      </c>
      <c r="K4" s="29">
        <v>2.6499999999999999E-2</v>
      </c>
      <c r="L4" s="29">
        <v>2.86E-2</v>
      </c>
      <c r="M4" s="29">
        <v>2.7199999999999998E-2</v>
      </c>
      <c r="N4" s="23">
        <v>2.92E-2</v>
      </c>
      <c r="O4" s="29">
        <v>3.5499999999999997E-2</v>
      </c>
    </row>
    <row r="25" spans="4:33" x14ac:dyDescent="0.2">
      <c r="D25" s="35"/>
      <c r="E25" s="35" t="s">
        <v>198</v>
      </c>
      <c r="F25" s="35" t="s">
        <v>199</v>
      </c>
      <c r="G25" s="35" t="s">
        <v>200</v>
      </c>
      <c r="H25" s="35" t="s">
        <v>176</v>
      </c>
      <c r="I25" s="35" t="s">
        <v>201</v>
      </c>
      <c r="J25" s="35" t="s">
        <v>202</v>
      </c>
      <c r="K25" s="35" t="s">
        <v>203</v>
      </c>
      <c r="L25" s="35" t="s">
        <v>204</v>
      </c>
      <c r="M25" s="35" t="s">
        <v>205</v>
      </c>
      <c r="N25" s="35" t="s">
        <v>206</v>
      </c>
    </row>
    <row r="26" spans="4:33" x14ac:dyDescent="0.2">
      <c r="D26" s="38" t="s">
        <v>161</v>
      </c>
      <c r="E26" s="36">
        <v>12.61</v>
      </c>
      <c r="F26" s="36">
        <v>1.17</v>
      </c>
      <c r="G26" s="36">
        <v>0.52</v>
      </c>
      <c r="H26" s="36">
        <v>0.38</v>
      </c>
      <c r="I26" s="36">
        <v>0.19</v>
      </c>
      <c r="J26" s="36">
        <v>0.21</v>
      </c>
      <c r="K26" s="36">
        <v>0.2</v>
      </c>
      <c r="L26" s="36">
        <v>0.15</v>
      </c>
      <c r="M26" s="36">
        <v>0.12</v>
      </c>
      <c r="N26" s="36">
        <v>0.12</v>
      </c>
      <c r="AB26" t="s">
        <v>381</v>
      </c>
      <c r="AC26" t="s">
        <v>382</v>
      </c>
      <c r="AD26" t="s">
        <v>383</v>
      </c>
      <c r="AE26" t="s">
        <v>384</v>
      </c>
      <c r="AF26" t="s">
        <v>385</v>
      </c>
      <c r="AG26" t="s">
        <v>386</v>
      </c>
    </row>
    <row r="27" spans="4:33" x14ac:dyDescent="0.2">
      <c r="D27" s="38" t="s">
        <v>162</v>
      </c>
      <c r="E27" s="36">
        <v>1.62</v>
      </c>
      <c r="F27" s="36">
        <v>0.13</v>
      </c>
      <c r="G27" s="36">
        <v>0.03</v>
      </c>
      <c r="H27" s="36">
        <v>-0.04</v>
      </c>
      <c r="I27" s="36">
        <v>0.36</v>
      </c>
      <c r="J27" s="36">
        <v>0.09</v>
      </c>
      <c r="K27" s="36">
        <v>0.25</v>
      </c>
      <c r="L27" s="36">
        <v>0.11</v>
      </c>
      <c r="M27" s="36">
        <v>0.15</v>
      </c>
      <c r="N27" s="36">
        <v>0.01</v>
      </c>
      <c r="AB27" s="55">
        <v>0.32</v>
      </c>
      <c r="AC27" s="55">
        <v>0.18</v>
      </c>
      <c r="AD27" s="55">
        <v>0.15</v>
      </c>
      <c r="AE27" s="55">
        <v>0.12</v>
      </c>
      <c r="AF27" s="55">
        <v>0.08</v>
      </c>
      <c r="AG27" s="55">
        <v>0.15</v>
      </c>
    </row>
    <row r="28" spans="4:33" x14ac:dyDescent="0.2">
      <c r="D28" s="38" t="s">
        <v>163</v>
      </c>
      <c r="E28" s="36">
        <v>2.2400000000000002</v>
      </c>
      <c r="F28" s="36">
        <v>0.77</v>
      </c>
      <c r="G28" s="36">
        <v>0.33</v>
      </c>
      <c r="H28" s="36">
        <v>0.27</v>
      </c>
      <c r="I28" s="36">
        <v>0.24</v>
      </c>
      <c r="J28" s="36">
        <v>0.19</v>
      </c>
      <c r="K28" s="36">
        <v>0.17</v>
      </c>
      <c r="L28" s="36">
        <v>0.15</v>
      </c>
      <c r="M28" s="36">
        <v>0.11</v>
      </c>
      <c r="N28" s="36">
        <v>0.08</v>
      </c>
    </row>
    <row r="29" spans="4:33" x14ac:dyDescent="0.2">
      <c r="D29" s="38" t="s">
        <v>164</v>
      </c>
      <c r="E29" s="36">
        <v>0.42</v>
      </c>
      <c r="F29" s="36">
        <v>0.69</v>
      </c>
      <c r="G29" s="36">
        <v>0.2</v>
      </c>
      <c r="H29" s="36">
        <v>0.34</v>
      </c>
      <c r="I29" s="36">
        <v>0.25</v>
      </c>
      <c r="J29" s="36">
        <v>0.1</v>
      </c>
      <c r="K29" s="36">
        <v>0.08</v>
      </c>
      <c r="L29" s="36">
        <v>0.1</v>
      </c>
      <c r="M29" s="36">
        <v>0.05</v>
      </c>
      <c r="N29" s="36">
        <v>0.1</v>
      </c>
    </row>
    <row r="30" spans="4:33" x14ac:dyDescent="0.2">
      <c r="D30" s="38" t="s">
        <v>165</v>
      </c>
      <c r="E30" s="36">
        <v>0.51</v>
      </c>
      <c r="F30" s="36">
        <v>0.32</v>
      </c>
      <c r="G30" s="36">
        <v>1.03</v>
      </c>
      <c r="H30" s="36">
        <v>7.0000000000000007E-2</v>
      </c>
      <c r="I30" s="36">
        <v>0.03</v>
      </c>
      <c r="J30" s="36">
        <v>0.11</v>
      </c>
      <c r="K30" s="36">
        <v>0.1</v>
      </c>
      <c r="L30" s="36">
        <v>0.06</v>
      </c>
      <c r="M30" s="36">
        <v>0.06</v>
      </c>
      <c r="N30" s="36">
        <v>0.04</v>
      </c>
    </row>
    <row r="31" spans="4:33" x14ac:dyDescent="0.2">
      <c r="D31" s="38" t="s">
        <v>166</v>
      </c>
      <c r="E31" s="36">
        <v>1.07</v>
      </c>
      <c r="F31" s="36">
        <v>0.45</v>
      </c>
      <c r="G31" s="36">
        <v>0.34</v>
      </c>
      <c r="H31" s="36">
        <v>0.26</v>
      </c>
      <c r="I31" s="36">
        <v>0.98</v>
      </c>
      <c r="J31" s="36">
        <v>0.08</v>
      </c>
      <c r="K31" s="36">
        <v>0.08</v>
      </c>
      <c r="L31" s="36">
        <v>0.1</v>
      </c>
      <c r="M31" s="36">
        <v>0.28999999999999998</v>
      </c>
      <c r="N31" s="36">
        <v>-0.1</v>
      </c>
    </row>
    <row r="32" spans="4:33" x14ac:dyDescent="0.2">
      <c r="D32" s="39" t="s">
        <v>167</v>
      </c>
      <c r="E32" s="37">
        <v>1.29</v>
      </c>
      <c r="F32" s="37">
        <v>0.45</v>
      </c>
      <c r="G32" s="37">
        <v>0.25</v>
      </c>
      <c r="H32" s="37">
        <v>0.31</v>
      </c>
      <c r="I32" s="37">
        <v>0.21</v>
      </c>
      <c r="J32" s="37">
        <v>0.16</v>
      </c>
      <c r="K32" s="37">
        <v>0.09</v>
      </c>
      <c r="L32" s="37">
        <v>0.1</v>
      </c>
      <c r="M32" s="37">
        <v>0.1</v>
      </c>
      <c r="N32" s="37">
        <v>0.11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705E-2B81-4B90-9714-8A3E045E04CE}">
  <dimension ref="A1:N55"/>
  <sheetViews>
    <sheetView zoomScale="65" workbookViewId="0">
      <selection activeCell="B45" sqref="B45"/>
    </sheetView>
  </sheetViews>
  <sheetFormatPr baseColWidth="10" defaultColWidth="8.83203125" defaultRowHeight="15" x14ac:dyDescent="0.2"/>
  <cols>
    <col min="1" max="1" width="26.5" customWidth="1"/>
    <col min="2" max="2" width="17.33203125" style="61" customWidth="1"/>
    <col min="13" max="13" width="25.83203125" customWidth="1"/>
    <col min="14" max="14" width="22" style="61" customWidth="1"/>
  </cols>
  <sheetData>
    <row r="1" spans="1:14" x14ac:dyDescent="0.2">
      <c r="A1" s="60" t="s">
        <v>387</v>
      </c>
    </row>
    <row r="3" spans="1:14" x14ac:dyDescent="0.2">
      <c r="A3" s="60" t="s">
        <v>323</v>
      </c>
      <c r="M3" s="60" t="s">
        <v>324</v>
      </c>
    </row>
    <row r="4" spans="1:14" x14ac:dyDescent="0.2">
      <c r="A4" t="s">
        <v>388</v>
      </c>
      <c r="M4" s="59" t="s">
        <v>326</v>
      </c>
      <c r="N4" s="61">
        <v>19509873</v>
      </c>
    </row>
    <row r="5" spans="1:14" x14ac:dyDescent="0.2">
      <c r="A5" s="59" t="s">
        <v>325</v>
      </c>
      <c r="B5" s="61">
        <v>66788973</v>
      </c>
      <c r="M5" s="59" t="s">
        <v>325</v>
      </c>
      <c r="N5" s="61">
        <v>16143126</v>
      </c>
    </row>
    <row r="6" spans="1:14" x14ac:dyDescent="0.2">
      <c r="A6" s="59" t="s">
        <v>326</v>
      </c>
      <c r="B6" s="61">
        <v>64468426</v>
      </c>
      <c r="M6" s="59" t="s">
        <v>389</v>
      </c>
      <c r="N6" s="61">
        <v>11327645</v>
      </c>
    </row>
    <row r="7" spans="1:14" x14ac:dyDescent="0.2">
      <c r="A7" s="59" t="s">
        <v>390</v>
      </c>
      <c r="B7" s="61">
        <v>60841871</v>
      </c>
      <c r="M7" s="59" t="s">
        <v>357</v>
      </c>
      <c r="N7" s="61">
        <v>10086998</v>
      </c>
    </row>
    <row r="8" spans="1:14" x14ac:dyDescent="0.2">
      <c r="A8" s="59" t="s">
        <v>391</v>
      </c>
      <c r="B8" s="61">
        <v>43794521</v>
      </c>
      <c r="M8" s="59" t="s">
        <v>392</v>
      </c>
      <c r="N8" s="61">
        <v>9940038</v>
      </c>
    </row>
    <row r="9" spans="1:14" x14ac:dyDescent="0.2">
      <c r="A9" s="59" t="s">
        <v>328</v>
      </c>
      <c r="B9" s="61">
        <v>43228077</v>
      </c>
      <c r="M9" s="59" t="s">
        <v>332</v>
      </c>
      <c r="N9" s="61">
        <v>7795497</v>
      </c>
    </row>
    <row r="10" spans="1:14" x14ac:dyDescent="0.2">
      <c r="A10" s="59" t="s">
        <v>332</v>
      </c>
      <c r="B10" s="61">
        <v>37583816</v>
      </c>
      <c r="M10" s="59" t="s">
        <v>393</v>
      </c>
      <c r="N10" s="61">
        <v>7737226</v>
      </c>
    </row>
    <row r="11" spans="1:14" x14ac:dyDescent="0.2">
      <c r="A11" s="59" t="s">
        <v>334</v>
      </c>
      <c r="B11" s="61">
        <v>31038321</v>
      </c>
      <c r="M11" s="59" t="s">
        <v>353</v>
      </c>
      <c r="N11" s="61">
        <v>7660242</v>
      </c>
    </row>
    <row r="12" spans="1:14" x14ac:dyDescent="0.2">
      <c r="A12" s="59" t="s">
        <v>349</v>
      </c>
      <c r="B12" s="61">
        <v>28375835</v>
      </c>
      <c r="M12" s="59" t="s">
        <v>390</v>
      </c>
      <c r="N12" s="61">
        <v>7484523</v>
      </c>
    </row>
    <row r="13" spans="1:14" x14ac:dyDescent="0.2">
      <c r="A13" s="59" t="s">
        <v>389</v>
      </c>
      <c r="B13" s="61">
        <v>27407983</v>
      </c>
      <c r="M13" s="59" t="s">
        <v>349</v>
      </c>
      <c r="N13" s="61">
        <v>6789659</v>
      </c>
    </row>
    <row r="14" spans="1:14" x14ac:dyDescent="0.2">
      <c r="A14" s="59" t="s">
        <v>357</v>
      </c>
      <c r="B14" s="61">
        <v>22959673</v>
      </c>
    </row>
    <row r="15" spans="1:14" x14ac:dyDescent="0.2">
      <c r="B15" s="61">
        <f>SUM(B5:B14)</f>
        <v>426487496</v>
      </c>
    </row>
    <row r="17" spans="1:14" x14ac:dyDescent="0.2">
      <c r="A17" s="60" t="s">
        <v>394</v>
      </c>
      <c r="M17" s="60" t="s">
        <v>344</v>
      </c>
    </row>
    <row r="18" spans="1:14" x14ac:dyDescent="0.2">
      <c r="A18" s="59" t="s">
        <v>390</v>
      </c>
      <c r="B18" s="62">
        <v>18997571</v>
      </c>
      <c r="M18" s="59" t="s">
        <v>390</v>
      </c>
      <c r="N18" s="62">
        <v>685175</v>
      </c>
    </row>
    <row r="19" spans="1:14" x14ac:dyDescent="0.2">
      <c r="A19" s="59" t="s">
        <v>332</v>
      </c>
      <c r="B19" s="62">
        <v>16845120</v>
      </c>
      <c r="M19" s="59" t="s">
        <v>395</v>
      </c>
      <c r="N19" s="62">
        <v>515021</v>
      </c>
    </row>
    <row r="20" spans="1:14" x14ac:dyDescent="0.2">
      <c r="A20" s="59" t="s">
        <v>396</v>
      </c>
      <c r="B20" s="62">
        <v>12248985</v>
      </c>
      <c r="M20" s="59" t="s">
        <v>372</v>
      </c>
      <c r="N20" s="62">
        <v>440252</v>
      </c>
    </row>
    <row r="21" spans="1:14" x14ac:dyDescent="0.2">
      <c r="A21" s="59" t="s">
        <v>397</v>
      </c>
      <c r="B21" s="62">
        <v>9710371</v>
      </c>
      <c r="M21" s="59" t="s">
        <v>346</v>
      </c>
      <c r="N21" s="62">
        <v>230717</v>
      </c>
    </row>
    <row r="22" spans="1:14" x14ac:dyDescent="0.2">
      <c r="A22" s="59" t="s">
        <v>391</v>
      </c>
      <c r="B22" s="62">
        <v>8769983</v>
      </c>
      <c r="M22" s="59" t="s">
        <v>389</v>
      </c>
      <c r="N22" s="62">
        <v>187816</v>
      </c>
    </row>
    <row r="23" spans="1:14" x14ac:dyDescent="0.2">
      <c r="A23" s="59" t="s">
        <v>392</v>
      </c>
      <c r="B23" s="62">
        <v>8551696</v>
      </c>
      <c r="M23" s="59" t="s">
        <v>348</v>
      </c>
      <c r="N23" s="62">
        <v>42159</v>
      </c>
    </row>
    <row r="24" spans="1:14" x14ac:dyDescent="0.2">
      <c r="A24" s="59" t="s">
        <v>389</v>
      </c>
      <c r="B24" s="62">
        <v>7254868</v>
      </c>
      <c r="M24" s="59" t="s">
        <v>398</v>
      </c>
      <c r="N24" s="62">
        <v>30519</v>
      </c>
    </row>
    <row r="25" spans="1:14" x14ac:dyDescent="0.2">
      <c r="A25" s="59" t="s">
        <v>349</v>
      </c>
      <c r="B25" s="62">
        <v>5282409</v>
      </c>
      <c r="M25" s="59" t="s">
        <v>399</v>
      </c>
      <c r="N25" s="62">
        <v>27039</v>
      </c>
    </row>
    <row r="26" spans="1:14" x14ac:dyDescent="0.2">
      <c r="A26" s="59" t="s">
        <v>399</v>
      </c>
      <c r="B26" s="62">
        <v>4628457</v>
      </c>
      <c r="M26" s="59" t="s">
        <v>352</v>
      </c>
      <c r="N26" s="62">
        <v>20638</v>
      </c>
    </row>
    <row r="27" spans="1:14" x14ac:dyDescent="0.2">
      <c r="A27" t="s">
        <v>351</v>
      </c>
      <c r="B27" s="62">
        <v>4579369</v>
      </c>
      <c r="M27" t="s">
        <v>350</v>
      </c>
      <c r="N27" s="62">
        <v>20448</v>
      </c>
    </row>
    <row r="31" spans="1:14" x14ac:dyDescent="0.2">
      <c r="M31" s="60" t="s">
        <v>356</v>
      </c>
    </row>
    <row r="32" spans="1:14" x14ac:dyDescent="0.2">
      <c r="M32" s="59" t="s">
        <v>359</v>
      </c>
      <c r="N32" s="63">
        <v>17.27</v>
      </c>
    </row>
    <row r="33" spans="1:14" x14ac:dyDescent="0.2">
      <c r="A33" s="60" t="s">
        <v>400</v>
      </c>
      <c r="M33" s="59" t="s">
        <v>353</v>
      </c>
      <c r="N33" s="63">
        <v>14.0082</v>
      </c>
    </row>
    <row r="34" spans="1:14" x14ac:dyDescent="0.2">
      <c r="A34" s="59" t="s">
        <v>357</v>
      </c>
      <c r="B34" s="62">
        <v>4705960</v>
      </c>
      <c r="M34" s="59" t="s">
        <v>340</v>
      </c>
      <c r="N34" s="63">
        <v>10.39</v>
      </c>
    </row>
    <row r="35" spans="1:14" x14ac:dyDescent="0.2">
      <c r="A35" s="59" t="s">
        <v>390</v>
      </c>
      <c r="B35" s="62">
        <v>1829758</v>
      </c>
      <c r="M35" s="59" t="s">
        <v>348</v>
      </c>
      <c r="N35" s="63">
        <v>9.4852000000000007</v>
      </c>
    </row>
    <row r="36" spans="1:14" x14ac:dyDescent="0.2">
      <c r="A36" s="59" t="s">
        <v>363</v>
      </c>
      <c r="B36" s="62">
        <v>1471793</v>
      </c>
      <c r="M36" s="59" t="s">
        <v>352</v>
      </c>
      <c r="N36" s="63">
        <v>9.19</v>
      </c>
    </row>
    <row r="37" spans="1:14" x14ac:dyDescent="0.2">
      <c r="A37" s="59" t="s">
        <v>389</v>
      </c>
      <c r="B37" s="62">
        <v>1405266</v>
      </c>
      <c r="M37" s="59" t="s">
        <v>401</v>
      </c>
      <c r="N37" s="63">
        <v>9.0992999999999995</v>
      </c>
    </row>
    <row r="38" spans="1:14" x14ac:dyDescent="0.2">
      <c r="A38" s="59" t="s">
        <v>332</v>
      </c>
      <c r="B38" s="62">
        <v>1362481</v>
      </c>
      <c r="M38" s="59" t="s">
        <v>349</v>
      </c>
      <c r="N38" s="63">
        <v>9.0675000000000008</v>
      </c>
    </row>
    <row r="39" spans="1:14" x14ac:dyDescent="0.2">
      <c r="A39" s="59" t="s">
        <v>391</v>
      </c>
      <c r="B39" s="62">
        <v>1194384</v>
      </c>
      <c r="M39" s="59" t="s">
        <v>369</v>
      </c>
      <c r="N39" s="63">
        <v>8.5648</v>
      </c>
    </row>
    <row r="40" spans="1:14" x14ac:dyDescent="0.2">
      <c r="A40" s="59" t="s">
        <v>392</v>
      </c>
      <c r="B40" s="62">
        <v>1026263</v>
      </c>
      <c r="M40" s="59" t="s">
        <v>402</v>
      </c>
      <c r="N40" s="63">
        <v>7.44</v>
      </c>
    </row>
    <row r="41" spans="1:14" x14ac:dyDescent="0.2">
      <c r="A41" s="59" t="s">
        <v>349</v>
      </c>
      <c r="B41" s="62">
        <v>903836</v>
      </c>
      <c r="M41" s="59" t="s">
        <v>389</v>
      </c>
      <c r="N41" s="63">
        <v>7.1901999999999999</v>
      </c>
    </row>
    <row r="42" spans="1:14" x14ac:dyDescent="0.2">
      <c r="A42" s="59" t="s">
        <v>403</v>
      </c>
      <c r="B42" s="62">
        <v>762551</v>
      </c>
      <c r="N42" s="47"/>
    </row>
    <row r="43" spans="1:14" x14ac:dyDescent="0.2">
      <c r="A43" s="59" t="s">
        <v>334</v>
      </c>
      <c r="B43" s="62">
        <v>620467</v>
      </c>
      <c r="N43" s="47"/>
    </row>
    <row r="44" spans="1:14" x14ac:dyDescent="0.2">
      <c r="N44" s="47"/>
    </row>
    <row r="45" spans="1:14" x14ac:dyDescent="0.2">
      <c r="M45" s="60" t="s">
        <v>365</v>
      </c>
      <c r="N45" s="47"/>
    </row>
    <row r="46" spans="1:14" x14ac:dyDescent="0.2">
      <c r="M46" s="59" t="s">
        <v>404</v>
      </c>
      <c r="N46" s="63">
        <v>9.0518000000000001</v>
      </c>
    </row>
    <row r="47" spans="1:14" x14ac:dyDescent="0.2">
      <c r="M47" s="59" t="s">
        <v>405</v>
      </c>
      <c r="N47" s="63">
        <v>8.4600000000000009</v>
      </c>
    </row>
    <row r="48" spans="1:14" x14ac:dyDescent="0.2">
      <c r="M48" s="59" t="s">
        <v>369</v>
      </c>
      <c r="N48" s="63">
        <v>5.5323000000000002</v>
      </c>
    </row>
    <row r="49" spans="13:14" x14ac:dyDescent="0.2">
      <c r="M49" s="59" t="s">
        <v>371</v>
      </c>
      <c r="N49" s="63">
        <v>4.9733000000000001</v>
      </c>
    </row>
    <row r="50" spans="13:14" x14ac:dyDescent="0.2">
      <c r="M50" s="59" t="s">
        <v>357</v>
      </c>
      <c r="N50" s="63">
        <v>4.82</v>
      </c>
    </row>
    <row r="51" spans="13:14" x14ac:dyDescent="0.2">
      <c r="M51" s="59" t="s">
        <v>406</v>
      </c>
      <c r="N51" s="63">
        <v>4.7577999999999996</v>
      </c>
    </row>
    <row r="52" spans="13:14" x14ac:dyDescent="0.2">
      <c r="M52" s="59" t="s">
        <v>368</v>
      </c>
      <c r="N52" s="63">
        <v>4.7111999999999998</v>
      </c>
    </row>
    <row r="53" spans="13:14" x14ac:dyDescent="0.2">
      <c r="M53" s="59" t="s">
        <v>348</v>
      </c>
      <c r="N53" s="63">
        <v>4.5536000000000003</v>
      </c>
    </row>
    <row r="54" spans="13:14" x14ac:dyDescent="0.2">
      <c r="M54" s="59" t="s">
        <v>352</v>
      </c>
      <c r="N54" s="63">
        <v>4.25</v>
      </c>
    </row>
    <row r="55" spans="13:14" x14ac:dyDescent="0.2">
      <c r="M55" s="59" t="s">
        <v>346</v>
      </c>
      <c r="N55" s="63">
        <v>3.68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A90B-5313-4624-A173-3F5297587C6F}">
  <dimension ref="A1:P166"/>
  <sheetViews>
    <sheetView zoomScale="53" zoomScaleNormal="40" workbookViewId="0">
      <selection activeCell="I58" sqref="I58"/>
    </sheetView>
  </sheetViews>
  <sheetFormatPr baseColWidth="10" defaultColWidth="8.83203125" defaultRowHeight="15" x14ac:dyDescent="0.2"/>
  <cols>
    <col min="1" max="1" width="39.6640625" customWidth="1"/>
    <col min="2" max="2" width="14.6640625" style="130" bestFit="1" customWidth="1"/>
    <col min="3" max="4" width="14.6640625" style="57" customWidth="1"/>
    <col min="5" max="6" width="9.1640625" style="115" bestFit="1" customWidth="1"/>
    <col min="7" max="7" width="45.6640625" customWidth="1"/>
    <col min="8" max="8" width="35.5" customWidth="1"/>
    <col min="9" max="9" width="23.5" customWidth="1"/>
    <col min="10" max="10" width="8.6640625" customWidth="1"/>
    <col min="11" max="11" width="9.1640625" bestFit="1" customWidth="1"/>
    <col min="12" max="12" width="43.5" customWidth="1"/>
    <col min="13" max="13" width="35.1640625" customWidth="1"/>
    <col min="14" max="14" width="17.5" customWidth="1"/>
    <col min="15" max="15" width="33.33203125" bestFit="1" customWidth="1"/>
    <col min="16" max="16" width="9.1640625" bestFit="1" customWidth="1"/>
  </cols>
  <sheetData>
    <row r="1" spans="1:14" x14ac:dyDescent="0.2">
      <c r="A1" t="s">
        <v>152</v>
      </c>
      <c r="F1" s="137"/>
      <c r="G1" s="8"/>
      <c r="H1" s="8"/>
      <c r="I1" s="8"/>
      <c r="J1" s="8"/>
      <c r="K1" s="8"/>
      <c r="L1" s="8"/>
    </row>
    <row r="2" spans="1:14" x14ac:dyDescent="0.2">
      <c r="A2" t="s">
        <v>1</v>
      </c>
      <c r="B2" s="135" t="s">
        <v>407</v>
      </c>
      <c r="C2" s="158" t="s">
        <v>408</v>
      </c>
      <c r="D2" s="158"/>
      <c r="H2" t="s">
        <v>409</v>
      </c>
      <c r="M2" t="s">
        <v>5</v>
      </c>
    </row>
    <row r="3" spans="1:14" ht="16" thickBot="1" x14ac:dyDescent="0.25">
      <c r="A3" t="s">
        <v>6</v>
      </c>
      <c r="B3" s="57">
        <f>SUM(B4:B10)</f>
        <v>0</v>
      </c>
      <c r="C3" s="57">
        <f>SUM(C4:C10)</f>
        <v>0</v>
      </c>
      <c r="H3" s="147" t="s">
        <v>6</v>
      </c>
      <c r="I3" s="152">
        <v>249289947.28</v>
      </c>
      <c r="M3" s="147" t="s">
        <v>6</v>
      </c>
      <c r="N3" s="150">
        <v>617034231.38</v>
      </c>
    </row>
    <row r="4" spans="1:14" x14ac:dyDescent="0.2">
      <c r="A4" s="129" t="s">
        <v>7</v>
      </c>
      <c r="C4" s="112"/>
      <c r="D4" s="112"/>
      <c r="H4" t="s">
        <v>8</v>
      </c>
      <c r="I4" s="168">
        <v>23113584</v>
      </c>
      <c r="M4" s="132" t="s">
        <v>9</v>
      </c>
      <c r="N4" s="130">
        <v>67581784</v>
      </c>
    </row>
    <row r="5" spans="1:14" x14ac:dyDescent="0.2">
      <c r="A5" s="129" t="s">
        <v>10</v>
      </c>
      <c r="C5" s="112"/>
      <c r="D5" s="112"/>
      <c r="H5" t="s">
        <v>11</v>
      </c>
      <c r="I5" s="168">
        <v>20188868</v>
      </c>
      <c r="M5" s="132" t="s">
        <v>12</v>
      </c>
      <c r="N5" s="130">
        <v>65633896</v>
      </c>
    </row>
    <row r="6" spans="1:14" x14ac:dyDescent="0.2">
      <c r="A6" s="129" t="s">
        <v>13</v>
      </c>
      <c r="C6" s="112"/>
      <c r="D6" s="112"/>
      <c r="H6" t="s">
        <v>14</v>
      </c>
      <c r="I6" s="168">
        <v>18822819</v>
      </c>
      <c r="M6" s="132" t="s">
        <v>15</v>
      </c>
      <c r="N6" s="130">
        <v>62215020</v>
      </c>
    </row>
    <row r="7" spans="1:14" x14ac:dyDescent="0.2">
      <c r="A7" s="129" t="s">
        <v>16</v>
      </c>
      <c r="C7" s="112"/>
      <c r="D7" s="112"/>
      <c r="H7" t="s">
        <v>17</v>
      </c>
      <c r="I7" s="168">
        <v>17879380</v>
      </c>
      <c r="M7" s="132" t="s">
        <v>18</v>
      </c>
      <c r="N7" s="130">
        <v>43944136</v>
      </c>
    </row>
    <row r="8" spans="1:14" x14ac:dyDescent="0.2">
      <c r="A8" s="129" t="s">
        <v>19</v>
      </c>
      <c r="C8" s="112"/>
      <c r="D8" s="112"/>
      <c r="H8" t="s">
        <v>20</v>
      </c>
      <c r="I8" s="168">
        <v>16657218</v>
      </c>
      <c r="M8" s="132" t="s">
        <v>21</v>
      </c>
      <c r="N8" s="130">
        <v>43177402</v>
      </c>
    </row>
    <row r="9" spans="1:14" x14ac:dyDescent="0.2">
      <c r="A9" s="129" t="s">
        <v>22</v>
      </c>
      <c r="B9" s="150"/>
      <c r="C9" s="112"/>
      <c r="D9" s="112"/>
      <c r="H9" t="s">
        <v>23</v>
      </c>
      <c r="I9" s="168">
        <v>15519841</v>
      </c>
      <c r="M9" s="132" t="s">
        <v>24</v>
      </c>
      <c r="N9" s="130">
        <v>37890261</v>
      </c>
    </row>
    <row r="10" spans="1:14" x14ac:dyDescent="0.2">
      <c r="A10" s="129" t="s">
        <v>25</v>
      </c>
      <c r="C10" s="112"/>
      <c r="D10" s="112"/>
      <c r="H10" t="s">
        <v>26</v>
      </c>
      <c r="I10" s="168">
        <v>15482815</v>
      </c>
      <c r="M10" s="132" t="s">
        <v>27</v>
      </c>
      <c r="N10" s="130">
        <v>30028776.379999999</v>
      </c>
    </row>
    <row r="11" spans="1:14" x14ac:dyDescent="0.2">
      <c r="A11" s="162" t="s">
        <v>410</v>
      </c>
      <c r="H11" t="s">
        <v>29</v>
      </c>
      <c r="I11" s="168">
        <v>9964790</v>
      </c>
      <c r="M11" s="132" t="s">
        <v>30</v>
      </c>
      <c r="N11" s="130">
        <v>29688346</v>
      </c>
    </row>
    <row r="12" spans="1:14" x14ac:dyDescent="0.2">
      <c r="H12" t="s">
        <v>31</v>
      </c>
      <c r="I12" s="168">
        <v>9211281</v>
      </c>
      <c r="M12" s="132"/>
      <c r="N12" s="130"/>
    </row>
    <row r="13" spans="1:14" x14ac:dyDescent="0.2">
      <c r="A13" t="s">
        <v>33</v>
      </c>
      <c r="B13" s="135">
        <v>2026</v>
      </c>
      <c r="C13" s="158">
        <v>2025</v>
      </c>
      <c r="D13" s="158"/>
      <c r="H13" t="s">
        <v>34</v>
      </c>
      <c r="I13" s="168">
        <v>5930244</v>
      </c>
      <c r="M13" s="132" t="s">
        <v>32</v>
      </c>
      <c r="N13" s="130">
        <v>27519452</v>
      </c>
    </row>
    <row r="14" spans="1:14" x14ac:dyDescent="0.2">
      <c r="A14" t="s">
        <v>6</v>
      </c>
      <c r="B14" s="57">
        <f>SUM(B15:B21)</f>
        <v>5083396</v>
      </c>
      <c r="C14" s="57">
        <f>SUM(C15:C21)</f>
        <v>5089497</v>
      </c>
      <c r="M14" s="132" t="s">
        <v>35</v>
      </c>
      <c r="N14" s="130">
        <v>23131460</v>
      </c>
    </row>
    <row r="15" spans="1:14" x14ac:dyDescent="0.2">
      <c r="A15" s="129" t="s">
        <v>36</v>
      </c>
      <c r="B15" s="130">
        <v>742314</v>
      </c>
      <c r="C15" s="130">
        <v>1033818</v>
      </c>
      <c r="D15" s="150"/>
      <c r="I15" s="125"/>
    </row>
    <row r="16" spans="1:14" x14ac:dyDescent="0.2">
      <c r="A16" s="129" t="s">
        <v>10</v>
      </c>
      <c r="B16" s="130">
        <v>391716</v>
      </c>
      <c r="C16" s="130">
        <v>464246</v>
      </c>
      <c r="H16" t="s">
        <v>37</v>
      </c>
      <c r="M16" t="s">
        <v>38</v>
      </c>
    </row>
    <row r="17" spans="1:14" ht="16" thickBot="1" x14ac:dyDescent="0.25">
      <c r="A17" s="129" t="s">
        <v>13</v>
      </c>
      <c r="B17" s="130">
        <v>173476</v>
      </c>
      <c r="C17" s="130">
        <v>1077069</v>
      </c>
      <c r="H17" s="147" t="s">
        <v>6</v>
      </c>
      <c r="I17" s="148">
        <v>91774708828</v>
      </c>
      <c r="M17" s="147" t="s">
        <v>6</v>
      </c>
      <c r="N17" s="150">
        <v>147252589.75</v>
      </c>
    </row>
    <row r="18" spans="1:14" x14ac:dyDescent="0.2">
      <c r="A18" s="129" t="s">
        <v>16</v>
      </c>
      <c r="B18" s="130">
        <v>477908</v>
      </c>
      <c r="C18" s="130">
        <v>624256</v>
      </c>
      <c r="H18" t="s">
        <v>20</v>
      </c>
      <c r="I18" s="168">
        <v>12684265</v>
      </c>
      <c r="M18" s="131" t="s">
        <v>12</v>
      </c>
      <c r="N18" s="130">
        <v>20542695</v>
      </c>
    </row>
    <row r="19" spans="1:14" x14ac:dyDescent="0.2">
      <c r="A19" s="129" t="s">
        <v>19</v>
      </c>
      <c r="B19" s="130">
        <v>26782</v>
      </c>
      <c r="C19" s="130">
        <v>30364</v>
      </c>
      <c r="D19" s="150"/>
      <c r="H19" t="s">
        <v>8</v>
      </c>
      <c r="I19" s="168">
        <v>9440328</v>
      </c>
      <c r="M19" s="131" t="s">
        <v>9</v>
      </c>
      <c r="N19" s="130">
        <v>16244253</v>
      </c>
    </row>
    <row r="20" spans="1:14" x14ac:dyDescent="0.2">
      <c r="A20" s="129" t="s">
        <v>22</v>
      </c>
      <c r="B20" s="130">
        <v>3048845</v>
      </c>
      <c r="C20" s="130">
        <v>1681787</v>
      </c>
      <c r="H20" t="s">
        <v>17</v>
      </c>
      <c r="I20" s="168">
        <v>9153872.6199999992</v>
      </c>
      <c r="M20" s="131" t="s">
        <v>32</v>
      </c>
      <c r="N20" s="130">
        <v>11633501</v>
      </c>
    </row>
    <row r="21" spans="1:14" x14ac:dyDescent="0.2">
      <c r="A21" s="129" t="s">
        <v>25</v>
      </c>
      <c r="B21" s="130">
        <v>222355</v>
      </c>
      <c r="C21" s="130">
        <v>177957</v>
      </c>
      <c r="H21" t="s">
        <v>26</v>
      </c>
      <c r="I21" s="168">
        <v>7122831</v>
      </c>
      <c r="M21" s="131" t="s">
        <v>35</v>
      </c>
      <c r="N21" s="130">
        <v>9547104</v>
      </c>
    </row>
    <row r="22" spans="1:14" x14ac:dyDescent="0.2">
      <c r="A22" s="162" t="s">
        <v>410</v>
      </c>
      <c r="B22" s="130">
        <v>22057</v>
      </c>
      <c r="C22" s="163"/>
      <c r="H22" t="s">
        <v>11</v>
      </c>
      <c r="I22" s="168">
        <v>6302802</v>
      </c>
      <c r="M22" s="131" t="s">
        <v>21</v>
      </c>
      <c r="N22" s="130">
        <v>8980958</v>
      </c>
    </row>
    <row r="23" spans="1:14" x14ac:dyDescent="0.2">
      <c r="H23" t="s">
        <v>29</v>
      </c>
      <c r="I23" s="168">
        <v>4395313</v>
      </c>
      <c r="M23" s="131"/>
      <c r="N23" s="130"/>
    </row>
    <row r="24" spans="1:14" x14ac:dyDescent="0.2">
      <c r="A24" t="s">
        <v>40</v>
      </c>
      <c r="B24" s="135">
        <v>2026</v>
      </c>
      <c r="C24" s="158">
        <v>2025</v>
      </c>
      <c r="D24" s="158"/>
      <c r="H24" t="s">
        <v>14</v>
      </c>
      <c r="I24" s="168">
        <v>4329177</v>
      </c>
      <c r="M24" s="131" t="s">
        <v>39</v>
      </c>
      <c r="N24" s="130">
        <v>7764902</v>
      </c>
    </row>
    <row r="25" spans="1:14" x14ac:dyDescent="0.2">
      <c r="A25" t="s">
        <v>6</v>
      </c>
      <c r="B25" s="57">
        <f>SUM(B26:B32)</f>
        <v>257841</v>
      </c>
      <c r="C25" s="57">
        <f>SUM(C26:C32)</f>
        <v>3909.5590000000011</v>
      </c>
      <c r="H25" t="s">
        <v>23</v>
      </c>
      <c r="I25" s="168">
        <v>3275254</v>
      </c>
      <c r="M25" s="131" t="s">
        <v>15</v>
      </c>
      <c r="N25" s="130">
        <v>7737193</v>
      </c>
    </row>
    <row r="26" spans="1:14" x14ac:dyDescent="0.2">
      <c r="A26" s="129" t="s">
        <v>36</v>
      </c>
      <c r="B26" s="130">
        <v>-11247</v>
      </c>
      <c r="C26" s="57">
        <v>-52424</v>
      </c>
      <c r="H26" t="s">
        <v>31</v>
      </c>
      <c r="I26" s="168">
        <v>3052773</v>
      </c>
      <c r="M26" s="131" t="s">
        <v>41</v>
      </c>
      <c r="N26" s="130">
        <v>7734754</v>
      </c>
    </row>
    <row r="27" spans="1:14" x14ac:dyDescent="0.2">
      <c r="A27" s="129" t="s">
        <v>10</v>
      </c>
      <c r="B27" s="130">
        <v>12502</v>
      </c>
      <c r="C27" s="159">
        <v>38905</v>
      </c>
      <c r="D27" s="159"/>
      <c r="H27" t="s">
        <v>34</v>
      </c>
      <c r="I27" s="168">
        <v>2168088</v>
      </c>
      <c r="M27" s="131" t="s">
        <v>24</v>
      </c>
      <c r="N27" s="130">
        <v>7012069</v>
      </c>
    </row>
    <row r="28" spans="1:14" x14ac:dyDescent="0.2">
      <c r="A28" s="129" t="s">
        <v>13</v>
      </c>
      <c r="B28" s="130">
        <v>150317</v>
      </c>
      <c r="C28" s="57">
        <v>214.14699999999999</v>
      </c>
      <c r="M28" s="131" t="s">
        <v>30</v>
      </c>
      <c r="N28" s="130">
        <v>6842973</v>
      </c>
    </row>
    <row r="29" spans="1:14" x14ac:dyDescent="0.2">
      <c r="A29" s="129" t="s">
        <v>16</v>
      </c>
      <c r="B29" s="130">
        <v>44062</v>
      </c>
      <c r="C29" s="57">
        <v>51.243000000000002</v>
      </c>
    </row>
    <row r="30" spans="1:14" x14ac:dyDescent="0.2">
      <c r="A30" s="129" t="s">
        <v>19</v>
      </c>
      <c r="B30" s="130">
        <v>15007</v>
      </c>
      <c r="C30" s="57">
        <v>8825</v>
      </c>
      <c r="H30" t="s">
        <v>42</v>
      </c>
      <c r="M30" t="s">
        <v>43</v>
      </c>
    </row>
    <row r="31" spans="1:14" ht="16" thickBot="1" x14ac:dyDescent="0.25">
      <c r="A31" s="129" t="s">
        <v>22</v>
      </c>
      <c r="B31" s="150">
        <v>8921</v>
      </c>
      <c r="C31" s="57">
        <v>18.169</v>
      </c>
      <c r="H31" s="147" t="s">
        <v>6</v>
      </c>
      <c r="I31" s="152">
        <v>11986036555</v>
      </c>
      <c r="M31" s="147" t="s">
        <v>6</v>
      </c>
      <c r="N31" s="150">
        <v>16217950.699999999</v>
      </c>
    </row>
    <row r="32" spans="1:14" x14ac:dyDescent="0.2">
      <c r="A32" s="129" t="s">
        <v>25</v>
      </c>
      <c r="B32" s="130">
        <v>38279</v>
      </c>
      <c r="C32" s="57">
        <v>8320</v>
      </c>
      <c r="H32" t="s">
        <v>26</v>
      </c>
      <c r="I32" s="168">
        <v>3355643</v>
      </c>
      <c r="M32" s="131" t="s">
        <v>15</v>
      </c>
      <c r="N32" s="130">
        <v>1868524</v>
      </c>
    </row>
    <row r="33" spans="1:14" x14ac:dyDescent="0.2">
      <c r="A33" s="162" t="s">
        <v>410</v>
      </c>
      <c r="B33" s="130">
        <v>-24438</v>
      </c>
      <c r="H33" t="s">
        <v>8</v>
      </c>
      <c r="I33" s="168">
        <v>2358190</v>
      </c>
      <c r="M33" s="131" t="s">
        <v>24</v>
      </c>
      <c r="N33" s="130">
        <v>1603290</v>
      </c>
    </row>
    <row r="34" spans="1:14" x14ac:dyDescent="0.2">
      <c r="H34" t="s">
        <v>44</v>
      </c>
      <c r="I34" s="168">
        <v>1042325</v>
      </c>
      <c r="M34" s="131" t="s">
        <v>12</v>
      </c>
      <c r="N34" s="130">
        <v>1201012</v>
      </c>
    </row>
    <row r="35" spans="1:14" x14ac:dyDescent="0.2">
      <c r="A35" t="s">
        <v>46</v>
      </c>
      <c r="B35" s="135">
        <v>2026</v>
      </c>
      <c r="C35" s="158">
        <v>2025</v>
      </c>
      <c r="D35" s="158"/>
      <c r="H35" t="s">
        <v>47</v>
      </c>
      <c r="I35" s="168">
        <v>835210</v>
      </c>
      <c r="M35" s="131" t="s">
        <v>30</v>
      </c>
      <c r="N35" s="130">
        <v>1158058</v>
      </c>
    </row>
    <row r="36" spans="1:14" x14ac:dyDescent="0.2">
      <c r="A36" t="s">
        <v>6</v>
      </c>
      <c r="B36" s="57">
        <f>SUM(B37:B43)</f>
        <v>7163718</v>
      </c>
      <c r="C36" s="57">
        <f>SUM(C37:C43)</f>
        <v>6633816</v>
      </c>
      <c r="H36" s="162" t="s">
        <v>298</v>
      </c>
      <c r="I36" s="168">
        <v>781383</v>
      </c>
      <c r="M36" s="131" t="s">
        <v>45</v>
      </c>
      <c r="N36" s="130">
        <v>889819</v>
      </c>
    </row>
    <row r="37" spans="1:14" x14ac:dyDescent="0.2">
      <c r="A37" s="129" t="s">
        <v>36</v>
      </c>
      <c r="B37" s="130">
        <v>2755484</v>
      </c>
      <c r="C37" s="130">
        <v>2493244</v>
      </c>
      <c r="D37" s="160"/>
      <c r="H37" s="162" t="s">
        <v>259</v>
      </c>
      <c r="I37" s="168">
        <v>776609.26</v>
      </c>
      <c r="M37" s="131" t="s">
        <v>21</v>
      </c>
      <c r="N37" s="130">
        <v>853913</v>
      </c>
    </row>
    <row r="38" spans="1:14" x14ac:dyDescent="0.2">
      <c r="A38" s="129" t="s">
        <v>10</v>
      </c>
      <c r="B38" s="130">
        <v>1604791</v>
      </c>
      <c r="C38" s="130">
        <v>1541256</v>
      </c>
      <c r="D38" s="160"/>
      <c r="H38" s="162" t="s">
        <v>269</v>
      </c>
      <c r="I38" s="168">
        <v>740222</v>
      </c>
      <c r="M38" s="131" t="s">
        <v>9</v>
      </c>
      <c r="N38" s="130">
        <v>824494</v>
      </c>
    </row>
    <row r="39" spans="1:14" x14ac:dyDescent="0.2">
      <c r="A39" s="129" t="s">
        <v>13</v>
      </c>
      <c r="B39" s="130">
        <v>-1925864</v>
      </c>
      <c r="C39" s="164">
        <v>-1086672</v>
      </c>
      <c r="D39" s="161"/>
      <c r="H39" s="162" t="s">
        <v>256</v>
      </c>
      <c r="I39" s="168">
        <v>728785</v>
      </c>
      <c r="M39" s="131" t="s">
        <v>18</v>
      </c>
      <c r="N39" s="130">
        <v>807599</v>
      </c>
    </row>
    <row r="40" spans="1:14" x14ac:dyDescent="0.2">
      <c r="A40" s="129" t="s">
        <v>16</v>
      </c>
      <c r="B40" s="130">
        <v>1729994</v>
      </c>
      <c r="C40" s="130">
        <v>1583183</v>
      </c>
      <c r="D40" s="112"/>
      <c r="H40" s="162" t="s">
        <v>301</v>
      </c>
      <c r="I40" s="168">
        <v>653626</v>
      </c>
      <c r="M40" s="131" t="s">
        <v>32</v>
      </c>
      <c r="N40" s="130">
        <v>642520</v>
      </c>
    </row>
    <row r="41" spans="1:14" x14ac:dyDescent="0.2">
      <c r="A41" s="129" t="s">
        <v>19</v>
      </c>
      <c r="B41" s="130">
        <v>897195</v>
      </c>
      <c r="C41" s="130">
        <v>780028</v>
      </c>
      <c r="D41" s="150"/>
      <c r="H41" s="162" t="s">
        <v>300</v>
      </c>
      <c r="I41" s="168">
        <v>534417</v>
      </c>
      <c r="M41" s="131" t="s">
        <v>48</v>
      </c>
      <c r="N41" s="130">
        <v>619598</v>
      </c>
    </row>
    <row r="42" spans="1:14" x14ac:dyDescent="0.2">
      <c r="A42" s="129" t="s">
        <v>22</v>
      </c>
      <c r="B42" s="130">
        <v>1186259</v>
      </c>
      <c r="C42" s="130">
        <v>985707</v>
      </c>
      <c r="D42" s="112"/>
    </row>
    <row r="43" spans="1:14" x14ac:dyDescent="0.2">
      <c r="A43" s="129" t="s">
        <v>25</v>
      </c>
      <c r="B43" s="130">
        <v>915859</v>
      </c>
      <c r="C43" s="130">
        <v>337070</v>
      </c>
      <c r="D43" s="112"/>
      <c r="H43" t="s">
        <v>49</v>
      </c>
      <c r="M43" t="s">
        <v>50</v>
      </c>
    </row>
    <row r="44" spans="1:14" ht="16" thickBot="1" x14ac:dyDescent="0.25">
      <c r="A44" s="162" t="s">
        <v>410</v>
      </c>
      <c r="B44" s="130">
        <v>556966</v>
      </c>
      <c r="H44" s="147" t="s">
        <v>6</v>
      </c>
      <c r="I44" s="148">
        <v>1774230768</v>
      </c>
      <c r="M44" s="147" t="s">
        <v>6</v>
      </c>
      <c r="N44" s="150">
        <v>-500478.41</v>
      </c>
    </row>
    <row r="45" spans="1:14" x14ac:dyDescent="0.2">
      <c r="H45" s="147"/>
      <c r="I45" s="94"/>
      <c r="M45" s="147"/>
      <c r="N45" s="150"/>
    </row>
    <row r="46" spans="1:14" x14ac:dyDescent="0.2">
      <c r="A46" t="s">
        <v>52</v>
      </c>
      <c r="B46" s="135">
        <v>2026</v>
      </c>
      <c r="C46" s="158">
        <v>2025</v>
      </c>
      <c r="D46" s="158"/>
      <c r="H46" t="s">
        <v>26</v>
      </c>
      <c r="I46" s="168">
        <v>309594</v>
      </c>
      <c r="M46" s="130" t="s">
        <v>21</v>
      </c>
      <c r="N46" s="130">
        <v>401972</v>
      </c>
    </row>
    <row r="47" spans="1:14" x14ac:dyDescent="0.2">
      <c r="A47" t="s">
        <v>6</v>
      </c>
      <c r="B47" s="57">
        <f>SUM(B48:B54)</f>
        <v>0</v>
      </c>
      <c r="C47" s="57">
        <f>SUM(C48:C54)</f>
        <v>0</v>
      </c>
      <c r="H47" s="162" t="s">
        <v>269</v>
      </c>
      <c r="I47" s="168">
        <v>217199</v>
      </c>
      <c r="M47" s="130" t="s">
        <v>12</v>
      </c>
      <c r="N47" s="130">
        <v>144845</v>
      </c>
    </row>
    <row r="48" spans="1:14" x14ac:dyDescent="0.2">
      <c r="A48" s="129" t="s">
        <v>36</v>
      </c>
      <c r="B48" s="32"/>
      <c r="C48" s="150"/>
      <c r="D48" s="150"/>
      <c r="H48" t="s">
        <v>31</v>
      </c>
      <c r="I48" s="168">
        <v>210330</v>
      </c>
      <c r="M48" s="130" t="s">
        <v>15</v>
      </c>
      <c r="N48" s="130">
        <v>116009</v>
      </c>
    </row>
    <row r="49" spans="1:16" x14ac:dyDescent="0.2">
      <c r="A49" s="129" t="s">
        <v>10</v>
      </c>
      <c r="B49" s="32"/>
      <c r="C49" s="150"/>
      <c r="D49" s="150"/>
      <c r="H49" t="s">
        <v>8</v>
      </c>
      <c r="I49" s="168">
        <v>162821</v>
      </c>
      <c r="M49" s="130" t="s">
        <v>18</v>
      </c>
      <c r="N49" s="130">
        <v>106537</v>
      </c>
    </row>
    <row r="50" spans="1:16" x14ac:dyDescent="0.2">
      <c r="A50" s="129" t="s">
        <v>13</v>
      </c>
      <c r="B50" s="32"/>
      <c r="C50" s="150"/>
      <c r="D50" s="150"/>
      <c r="H50" s="162" t="s">
        <v>259</v>
      </c>
      <c r="I50" s="168">
        <v>161292.54</v>
      </c>
      <c r="M50" s="130" t="s">
        <v>24</v>
      </c>
      <c r="N50" s="130">
        <v>63060</v>
      </c>
    </row>
    <row r="51" spans="1:16" x14ac:dyDescent="0.2">
      <c r="A51" s="129" t="s">
        <v>16</v>
      </c>
      <c r="B51" s="32"/>
      <c r="C51" s="150"/>
      <c r="D51" s="150"/>
      <c r="H51" s="162" t="s">
        <v>298</v>
      </c>
      <c r="I51" s="168">
        <v>151433</v>
      </c>
      <c r="M51" s="130" t="s">
        <v>53</v>
      </c>
      <c r="N51" s="130">
        <v>60587</v>
      </c>
    </row>
    <row r="52" spans="1:16" x14ac:dyDescent="0.2">
      <c r="A52" s="129" t="s">
        <v>19</v>
      </c>
      <c r="C52" s="150"/>
      <c r="D52" s="150"/>
      <c r="H52" s="162" t="s">
        <v>301</v>
      </c>
      <c r="I52" s="168">
        <v>137125</v>
      </c>
      <c r="M52" s="130" t="s">
        <v>54</v>
      </c>
      <c r="N52" s="130">
        <v>37479</v>
      </c>
    </row>
    <row r="53" spans="1:16" x14ac:dyDescent="0.2">
      <c r="A53" s="129" t="s">
        <v>22</v>
      </c>
      <c r="C53" s="150"/>
      <c r="D53" s="150"/>
      <c r="H53" s="162" t="s">
        <v>273</v>
      </c>
      <c r="I53" s="168">
        <v>110921</v>
      </c>
      <c r="M53" s="130" t="s">
        <v>45</v>
      </c>
      <c r="N53" s="130">
        <v>19914</v>
      </c>
    </row>
    <row r="54" spans="1:16" x14ac:dyDescent="0.2">
      <c r="A54" s="129" t="s">
        <v>25</v>
      </c>
      <c r="B54" s="32"/>
      <c r="C54" s="150"/>
      <c r="D54" s="150"/>
      <c r="H54" s="162" t="s">
        <v>311</v>
      </c>
      <c r="I54" s="168">
        <v>110201</v>
      </c>
      <c r="M54" s="130" t="s">
        <v>56</v>
      </c>
      <c r="N54" s="130">
        <v>19796</v>
      </c>
    </row>
    <row r="55" spans="1:16" x14ac:dyDescent="0.2">
      <c r="A55" s="162" t="s">
        <v>410</v>
      </c>
      <c r="H55" s="162" t="s">
        <v>260</v>
      </c>
      <c r="I55" s="168">
        <v>110157</v>
      </c>
      <c r="M55" s="130" t="s">
        <v>32</v>
      </c>
      <c r="N55" s="130">
        <v>19297</v>
      </c>
    </row>
    <row r="56" spans="1:16" x14ac:dyDescent="0.2">
      <c r="I56" s="32"/>
      <c r="M56" s="130"/>
      <c r="N56" s="130"/>
    </row>
    <row r="57" spans="1:16" x14ac:dyDescent="0.2">
      <c r="A57" t="s">
        <v>63</v>
      </c>
      <c r="B57" s="135">
        <v>2026</v>
      </c>
      <c r="C57" s="158">
        <v>2025</v>
      </c>
      <c r="D57" s="158"/>
    </row>
    <row r="58" spans="1:16" x14ac:dyDescent="0.2">
      <c r="A58" t="s">
        <v>6</v>
      </c>
      <c r="D58" s="134"/>
      <c r="H58" t="s">
        <v>57</v>
      </c>
      <c r="M58" t="s">
        <v>58</v>
      </c>
    </row>
    <row r="59" spans="1:16" x14ac:dyDescent="0.2">
      <c r="A59" s="129" t="s">
        <v>36</v>
      </c>
      <c r="B59" s="23">
        <v>1.3063</v>
      </c>
      <c r="C59" s="165">
        <v>1.298</v>
      </c>
      <c r="D59" s="139"/>
      <c r="H59" s="147" t="s">
        <v>59</v>
      </c>
      <c r="I59" s="86">
        <v>3.6469723076923</v>
      </c>
      <c r="M59" s="147" t="s">
        <v>59</v>
      </c>
      <c r="N59" s="157">
        <v>5.6627000000000001</v>
      </c>
      <c r="O59" s="147" t="s">
        <v>59</v>
      </c>
      <c r="P59" s="157">
        <v>5.6627000000000001</v>
      </c>
    </row>
    <row r="60" spans="1:16" x14ac:dyDescent="0.2">
      <c r="A60" s="129" t="s">
        <v>10</v>
      </c>
      <c r="B60" s="23">
        <v>1.7424999999999999</v>
      </c>
      <c r="C60" s="23">
        <v>2.4085000000000001</v>
      </c>
      <c r="D60" s="24"/>
      <c r="H60" t="s">
        <v>60</v>
      </c>
      <c r="I60" s="169">
        <v>23.96</v>
      </c>
      <c r="M60" s="129" t="s">
        <v>61</v>
      </c>
      <c r="N60" s="23">
        <v>29.74</v>
      </c>
      <c r="O60" s="129" t="s">
        <v>62</v>
      </c>
      <c r="P60" s="23">
        <v>7.9726999999999997</v>
      </c>
    </row>
    <row r="61" spans="1:16" x14ac:dyDescent="0.2">
      <c r="A61" s="129" t="s">
        <v>13</v>
      </c>
      <c r="B61" s="23">
        <v>-1.6922999999999999</v>
      </c>
      <c r="C61" s="166">
        <v>-0.876</v>
      </c>
      <c r="D61" s="140"/>
      <c r="H61" s="162" t="s">
        <v>279</v>
      </c>
      <c r="I61" s="169">
        <v>8.77</v>
      </c>
      <c r="M61" s="129" t="s">
        <v>64</v>
      </c>
      <c r="N61" s="23">
        <v>17.34</v>
      </c>
      <c r="O61" s="129" t="s">
        <v>30</v>
      </c>
      <c r="P61" s="23">
        <v>8.3727</v>
      </c>
    </row>
    <row r="62" spans="1:16" x14ac:dyDescent="0.2">
      <c r="A62" s="129" t="s">
        <v>16</v>
      </c>
      <c r="B62" s="55">
        <v>1.87</v>
      </c>
      <c r="C62" s="55">
        <v>1.8</v>
      </c>
      <c r="D62" s="24"/>
      <c r="H62" t="s">
        <v>20</v>
      </c>
      <c r="I62" s="170">
        <v>8.1655999999999995</v>
      </c>
      <c r="M62" s="129" t="s">
        <v>39</v>
      </c>
      <c r="N62" s="23">
        <v>13.703900000000001</v>
      </c>
      <c r="O62" s="129" t="s">
        <v>66</v>
      </c>
      <c r="P62" s="23">
        <v>8.5672999999999995</v>
      </c>
    </row>
    <row r="63" spans="1:16" x14ac:dyDescent="0.2">
      <c r="A63" s="129" t="s">
        <v>19</v>
      </c>
      <c r="B63" s="23">
        <v>11.2179</v>
      </c>
      <c r="C63" s="23">
        <v>12.4259</v>
      </c>
      <c r="D63" s="24"/>
      <c r="H63" t="s">
        <v>65</v>
      </c>
      <c r="I63" s="169">
        <v>7.99</v>
      </c>
      <c r="M63" s="129" t="s">
        <v>68</v>
      </c>
      <c r="N63" s="23">
        <v>11.771000000000001</v>
      </c>
      <c r="O63" s="129" t="s">
        <v>69</v>
      </c>
      <c r="P63" s="23">
        <v>8.66</v>
      </c>
    </row>
    <row r="64" spans="1:16" x14ac:dyDescent="0.2">
      <c r="A64" s="129" t="s">
        <v>22</v>
      </c>
      <c r="B64" s="23">
        <v>3.0838000000000001</v>
      </c>
      <c r="C64" s="23">
        <v>2.9068000000000001</v>
      </c>
      <c r="D64" s="141"/>
      <c r="H64" s="162" t="s">
        <v>316</v>
      </c>
      <c r="I64" s="170">
        <v>7.0111999999999997</v>
      </c>
      <c r="M64" s="129" t="s">
        <v>71</v>
      </c>
      <c r="N64" s="23">
        <v>10.99</v>
      </c>
      <c r="O64" s="129" t="s">
        <v>72</v>
      </c>
      <c r="P64" s="23">
        <v>9</v>
      </c>
    </row>
    <row r="65" spans="1:16" x14ac:dyDescent="0.2">
      <c r="A65" s="129" t="s">
        <v>25</v>
      </c>
      <c r="B65" s="23">
        <v>4.0777000000000001</v>
      </c>
      <c r="C65" s="23">
        <v>2.7913999999999999</v>
      </c>
      <c r="D65" s="141"/>
      <c r="H65" s="162" t="s">
        <v>305</v>
      </c>
      <c r="I65" s="169">
        <v>6.58</v>
      </c>
      <c r="M65" s="129" t="s">
        <v>72</v>
      </c>
      <c r="N65" s="23">
        <v>9</v>
      </c>
      <c r="O65" s="129" t="s">
        <v>71</v>
      </c>
      <c r="P65" s="23">
        <v>10.99</v>
      </c>
    </row>
    <row r="66" spans="1:16" x14ac:dyDescent="0.2">
      <c r="A66" s="162" t="s">
        <v>410</v>
      </c>
      <c r="B66" s="23">
        <v>7.0846999999999998</v>
      </c>
      <c r="C66" s="141"/>
      <c r="D66" s="141"/>
      <c r="H66" s="162" t="s">
        <v>303</v>
      </c>
      <c r="I66" s="169">
        <v>6.35</v>
      </c>
      <c r="M66" s="129"/>
      <c r="N66" s="23"/>
      <c r="O66" s="129"/>
      <c r="P66" s="23"/>
    </row>
    <row r="67" spans="1:16" x14ac:dyDescent="0.2">
      <c r="A67" t="s">
        <v>59</v>
      </c>
      <c r="B67" s="134">
        <f>AVERAGE(B59:B65)</f>
        <v>3.0865571428571426</v>
      </c>
      <c r="C67" s="134">
        <f>AVERAGE(C59:C65)</f>
        <v>3.2506571428571429</v>
      </c>
      <c r="H67" s="162" t="s">
        <v>304</v>
      </c>
      <c r="I67" s="170">
        <v>5.9429999999999996</v>
      </c>
      <c r="M67" s="129" t="s">
        <v>69</v>
      </c>
      <c r="N67" s="23">
        <v>8.66</v>
      </c>
      <c r="O67" s="129" t="s">
        <v>68</v>
      </c>
      <c r="P67" s="23">
        <v>11.771000000000001</v>
      </c>
    </row>
    <row r="68" spans="1:16" x14ac:dyDescent="0.2">
      <c r="D68" s="158"/>
      <c r="H68" s="162" t="s">
        <v>307</v>
      </c>
      <c r="I68" s="170">
        <v>5.8383000000000003</v>
      </c>
      <c r="M68" s="129" t="s">
        <v>66</v>
      </c>
      <c r="N68" s="23">
        <v>8.5672999999999995</v>
      </c>
      <c r="O68" s="129" t="s">
        <v>39</v>
      </c>
      <c r="P68" s="23">
        <v>13.703900000000001</v>
      </c>
    </row>
    <row r="69" spans="1:16" x14ac:dyDescent="0.2">
      <c r="A69" t="s">
        <v>80</v>
      </c>
      <c r="B69" s="135">
        <v>2026</v>
      </c>
      <c r="C69" s="158">
        <v>2025</v>
      </c>
      <c r="D69" s="134"/>
      <c r="H69" s="162" t="s">
        <v>268</v>
      </c>
      <c r="I69" s="170">
        <v>5.5467000000000004</v>
      </c>
      <c r="M69" s="129" t="s">
        <v>30</v>
      </c>
      <c r="N69" s="23">
        <v>8.3727</v>
      </c>
      <c r="O69" s="129" t="s">
        <v>64</v>
      </c>
      <c r="P69" s="23">
        <v>17.34</v>
      </c>
    </row>
    <row r="70" spans="1:16" x14ac:dyDescent="0.2">
      <c r="A70" s="129" t="s">
        <v>36</v>
      </c>
      <c r="B70" s="23">
        <v>1.1974</v>
      </c>
      <c r="C70" s="165">
        <v>1.3275999999999999</v>
      </c>
      <c r="D70" s="139"/>
      <c r="M70" s="129" t="s">
        <v>62</v>
      </c>
      <c r="N70" s="23">
        <v>7.9726999999999997</v>
      </c>
      <c r="O70" s="129" t="s">
        <v>61</v>
      </c>
      <c r="P70" s="23">
        <v>29.74</v>
      </c>
    </row>
    <row r="71" spans="1:16" x14ac:dyDescent="0.2">
      <c r="A71" s="129" t="s">
        <v>10</v>
      </c>
      <c r="B71" s="23">
        <v>1.3091999999999999</v>
      </c>
      <c r="C71" s="23">
        <v>1.3347</v>
      </c>
      <c r="D71" s="24"/>
    </row>
    <row r="72" spans="1:16" x14ac:dyDescent="0.2">
      <c r="A72" s="129" t="s">
        <v>13</v>
      </c>
      <c r="B72" s="23">
        <v>0.90400000000000003</v>
      </c>
      <c r="C72" s="166">
        <v>1.073</v>
      </c>
      <c r="D72" s="140"/>
      <c r="H72" t="s">
        <v>78</v>
      </c>
      <c r="M72" t="s">
        <v>79</v>
      </c>
    </row>
    <row r="73" spans="1:16" x14ac:dyDescent="0.2">
      <c r="A73" s="129" t="s">
        <v>16</v>
      </c>
      <c r="B73" s="55">
        <v>1.85</v>
      </c>
      <c r="C73" s="55">
        <v>1.95</v>
      </c>
      <c r="D73" s="26"/>
      <c r="E73" s="57"/>
      <c r="H73" s="147" t="s">
        <v>59</v>
      </c>
      <c r="I73" s="47">
        <v>1.6256999999999999</v>
      </c>
      <c r="M73" s="147" t="s">
        <v>59</v>
      </c>
      <c r="N73" s="157">
        <v>5.6627000000000001</v>
      </c>
      <c r="O73" s="147" t="s">
        <v>59</v>
      </c>
      <c r="P73" s="23">
        <v>2.613</v>
      </c>
    </row>
    <row r="74" spans="1:16" x14ac:dyDescent="0.2">
      <c r="A74" s="129" t="s">
        <v>19</v>
      </c>
      <c r="B74" s="23">
        <v>3.2376</v>
      </c>
      <c r="C74" s="23">
        <v>3.6821000000000002</v>
      </c>
      <c r="D74" s="24"/>
      <c r="E74" s="57"/>
      <c r="H74" t="s">
        <v>60</v>
      </c>
      <c r="I74" s="169">
        <v>3.85</v>
      </c>
      <c r="M74" s="129" t="s">
        <v>61</v>
      </c>
      <c r="N74" s="23">
        <v>7.79</v>
      </c>
      <c r="O74" s="129" t="s">
        <v>81</v>
      </c>
      <c r="P74" s="23">
        <v>2.9203000000000001</v>
      </c>
    </row>
    <row r="75" spans="1:16" x14ac:dyDescent="0.2">
      <c r="A75" s="129" t="s">
        <v>22</v>
      </c>
      <c r="B75" s="23">
        <v>1.5858000000000001</v>
      </c>
      <c r="C75" s="23">
        <v>1.5203</v>
      </c>
      <c r="D75" s="141"/>
      <c r="E75" s="57"/>
      <c r="H75" t="s">
        <v>20</v>
      </c>
      <c r="I75" s="170">
        <v>3.1078000000000001</v>
      </c>
      <c r="M75" s="129" t="s">
        <v>68</v>
      </c>
      <c r="N75" s="23">
        <v>7.4253999999999998</v>
      </c>
      <c r="O75" s="129" t="s">
        <v>53</v>
      </c>
      <c r="P75" s="23">
        <v>3.22</v>
      </c>
    </row>
    <row r="76" spans="1:16" x14ac:dyDescent="0.2">
      <c r="A76" s="129" t="s">
        <v>25</v>
      </c>
      <c r="B76" s="23">
        <v>1.5741000000000001</v>
      </c>
      <c r="C76" s="23">
        <v>1.4772000000000001</v>
      </c>
      <c r="D76" s="141"/>
      <c r="E76" s="57"/>
      <c r="H76" t="s">
        <v>11</v>
      </c>
      <c r="I76" s="170">
        <v>2.4740000000000002</v>
      </c>
      <c r="M76" s="129" t="s">
        <v>66</v>
      </c>
      <c r="N76" s="23">
        <v>6.4760999999999997</v>
      </c>
      <c r="O76" s="129" t="s">
        <v>82</v>
      </c>
      <c r="P76" s="23">
        <v>3.3689</v>
      </c>
    </row>
    <row r="77" spans="1:16" x14ac:dyDescent="0.2">
      <c r="A77" s="162" t="s">
        <v>410</v>
      </c>
      <c r="B77" s="23">
        <v>3.8342000000000001</v>
      </c>
      <c r="E77" s="57"/>
      <c r="H77" s="162" t="s">
        <v>261</v>
      </c>
      <c r="I77" s="169">
        <v>2.4500000000000002</v>
      </c>
      <c r="M77" s="129" t="s">
        <v>83</v>
      </c>
      <c r="N77" s="23">
        <v>5.1994999999999996</v>
      </c>
      <c r="O77" s="129" t="s">
        <v>72</v>
      </c>
      <c r="P77" s="23">
        <v>4.08</v>
      </c>
    </row>
    <row r="78" spans="1:16" x14ac:dyDescent="0.2">
      <c r="A78" t="s">
        <v>59</v>
      </c>
      <c r="B78" s="134">
        <f>AVERAGE(B70:B76)</f>
        <v>1.6654428571428572</v>
      </c>
      <c r="C78" s="134">
        <f>AVERAGE(C70:C76)</f>
        <v>1.7664142857142857</v>
      </c>
      <c r="D78" s="158"/>
      <c r="E78" s="57"/>
      <c r="H78" s="162" t="s">
        <v>304</v>
      </c>
      <c r="I78" s="169">
        <v>2.1800000000000002</v>
      </c>
      <c r="M78" s="129" t="s">
        <v>62</v>
      </c>
      <c r="N78" s="23">
        <v>5.1079999999999997</v>
      </c>
      <c r="O78" s="129" t="s">
        <v>85</v>
      </c>
      <c r="P78" s="23">
        <v>4.4028999999999998</v>
      </c>
    </row>
    <row r="79" spans="1:16" x14ac:dyDescent="0.2">
      <c r="E79" s="57"/>
      <c r="H79" s="162" t="s">
        <v>316</v>
      </c>
      <c r="I79" s="170">
        <v>2.0922999999999998</v>
      </c>
      <c r="M79" s="129" t="s">
        <v>85</v>
      </c>
      <c r="N79" s="23">
        <v>4.4028999999999998</v>
      </c>
      <c r="O79" s="129" t="s">
        <v>62</v>
      </c>
      <c r="P79" s="23">
        <v>5.1079999999999997</v>
      </c>
    </row>
    <row r="80" spans="1:16" x14ac:dyDescent="0.2">
      <c r="A80" t="s">
        <v>87</v>
      </c>
      <c r="B80" s="135">
        <v>2026</v>
      </c>
      <c r="C80" s="158">
        <v>2025</v>
      </c>
      <c r="H80" s="162" t="s">
        <v>293</v>
      </c>
      <c r="I80" s="170">
        <v>2.0747</v>
      </c>
      <c r="M80" s="129" t="s">
        <v>72</v>
      </c>
      <c r="N80" s="23">
        <v>4.08</v>
      </c>
      <c r="O80" s="129" t="s">
        <v>83</v>
      </c>
      <c r="P80" s="23">
        <v>5.1994999999999996</v>
      </c>
    </row>
    <row r="81" spans="1:16" ht="16" x14ac:dyDescent="0.2">
      <c r="A81" s="149" t="s">
        <v>6</v>
      </c>
      <c r="B81" s="57">
        <f>SUM(B82:B88)</f>
        <v>40121055</v>
      </c>
      <c r="C81" s="57">
        <f>SUM(C82:C88)</f>
        <v>39806726</v>
      </c>
      <c r="H81" s="162" t="s">
        <v>279</v>
      </c>
      <c r="I81" s="170">
        <v>2.0726</v>
      </c>
      <c r="M81" s="129" t="s">
        <v>82</v>
      </c>
      <c r="N81" s="23">
        <v>3.3689</v>
      </c>
      <c r="O81" s="129" t="s">
        <v>66</v>
      </c>
      <c r="P81" s="23">
        <v>6.4760999999999997</v>
      </c>
    </row>
    <row r="82" spans="1:16" x14ac:dyDescent="0.2">
      <c r="A82" s="129" t="s">
        <v>36</v>
      </c>
      <c r="B82" s="130">
        <v>12972004</v>
      </c>
      <c r="C82" s="32">
        <v>13588443</v>
      </c>
      <c r="H82" t="s">
        <v>75</v>
      </c>
      <c r="I82" s="169">
        <v>2.04</v>
      </c>
      <c r="M82" s="129" t="s">
        <v>53</v>
      </c>
      <c r="N82" s="23">
        <v>3.22</v>
      </c>
      <c r="O82" s="129" t="s">
        <v>68</v>
      </c>
      <c r="P82" s="23">
        <v>7.4253999999999998</v>
      </c>
    </row>
    <row r="83" spans="1:16" x14ac:dyDescent="0.2">
      <c r="A83" s="129" t="s">
        <v>10</v>
      </c>
      <c r="B83" s="130">
        <v>5622306</v>
      </c>
      <c r="C83" s="32">
        <v>5165855</v>
      </c>
      <c r="H83" s="162" t="s">
        <v>253</v>
      </c>
      <c r="I83" s="170">
        <v>2.0316999999999998</v>
      </c>
      <c r="M83" s="129" t="s">
        <v>81</v>
      </c>
      <c r="N83" s="23">
        <v>2.9203000000000001</v>
      </c>
      <c r="O83" s="129" t="s">
        <v>61</v>
      </c>
      <c r="P83" s="23">
        <v>7.79</v>
      </c>
    </row>
    <row r="84" spans="1:16" x14ac:dyDescent="0.2">
      <c r="A84" s="129" t="s">
        <v>13</v>
      </c>
      <c r="B84" s="130">
        <v>6429215</v>
      </c>
      <c r="C84" s="32">
        <v>8302032</v>
      </c>
    </row>
    <row r="85" spans="1:16" x14ac:dyDescent="0.2">
      <c r="A85" s="129" t="s">
        <v>16</v>
      </c>
      <c r="B85" s="130">
        <v>7230344</v>
      </c>
      <c r="C85" s="32">
        <v>6233954</v>
      </c>
    </row>
    <row r="86" spans="1:16" x14ac:dyDescent="0.2">
      <c r="A86" s="129" t="s">
        <v>19</v>
      </c>
      <c r="B86" s="130">
        <v>1219165</v>
      </c>
      <c r="C86" s="32">
        <v>1051638</v>
      </c>
    </row>
    <row r="87" spans="1:16" x14ac:dyDescent="0.2">
      <c r="A87" s="129" t="s">
        <v>22</v>
      </c>
      <c r="B87" s="150">
        <v>4561072</v>
      </c>
      <c r="C87" s="32">
        <v>4512610</v>
      </c>
    </row>
    <row r="88" spans="1:16" x14ac:dyDescent="0.2">
      <c r="A88" s="129" t="s">
        <v>25</v>
      </c>
      <c r="B88" s="130">
        <v>2086949</v>
      </c>
      <c r="C88" s="32">
        <v>952194</v>
      </c>
    </row>
    <row r="89" spans="1:16" x14ac:dyDescent="0.2">
      <c r="A89" s="162" t="s">
        <v>410</v>
      </c>
    </row>
    <row r="105" spans="6:9" x14ac:dyDescent="0.2">
      <c r="G105" t="s">
        <v>57</v>
      </c>
    </row>
    <row r="106" spans="6:9" x14ac:dyDescent="0.2">
      <c r="F106" s="147" t="s">
        <v>59</v>
      </c>
      <c r="G106" s="86">
        <v>3.6469723076923</v>
      </c>
    </row>
    <row r="107" spans="6:9" x14ac:dyDescent="0.2">
      <c r="F107" t="s">
        <v>77</v>
      </c>
      <c r="G107" s="49">
        <v>5.9539999999999997</v>
      </c>
      <c r="I107" s="55"/>
    </row>
    <row r="108" spans="6:9" x14ac:dyDescent="0.2">
      <c r="F108" t="s">
        <v>76</v>
      </c>
      <c r="G108" s="23">
        <v>6.1885000000000003</v>
      </c>
      <c r="I108" s="23"/>
    </row>
    <row r="109" spans="6:9" x14ac:dyDescent="0.2">
      <c r="F109" t="s">
        <v>75</v>
      </c>
      <c r="G109" s="55">
        <v>6.32</v>
      </c>
      <c r="I109" s="55"/>
    </row>
    <row r="110" spans="6:9" x14ac:dyDescent="0.2">
      <c r="F110" t="s">
        <v>74</v>
      </c>
      <c r="G110" s="55">
        <v>6.54</v>
      </c>
      <c r="I110" s="55"/>
    </row>
    <row r="111" spans="6:9" x14ac:dyDescent="0.2">
      <c r="F111" t="s">
        <v>73</v>
      </c>
      <c r="G111" s="23">
        <v>6.6761999999999997</v>
      </c>
      <c r="I111" s="23"/>
    </row>
    <row r="112" spans="6:9" x14ac:dyDescent="0.2">
      <c r="F112" t="s">
        <v>70</v>
      </c>
      <c r="G112" s="23">
        <v>7.2218</v>
      </c>
      <c r="I112" s="23"/>
    </row>
    <row r="113" spans="6:15" x14ac:dyDescent="0.2">
      <c r="F113" t="s">
        <v>67</v>
      </c>
      <c r="G113" s="55">
        <v>7.73</v>
      </c>
      <c r="I113" s="55"/>
    </row>
    <row r="114" spans="6:15" x14ac:dyDescent="0.2">
      <c r="F114" t="s">
        <v>65</v>
      </c>
      <c r="G114" s="55">
        <v>8.0299999999999994</v>
      </c>
      <c r="I114" s="55"/>
    </row>
    <row r="115" spans="6:15" x14ac:dyDescent="0.2">
      <c r="F115" t="s">
        <v>20</v>
      </c>
      <c r="G115" s="23">
        <v>8.1616</v>
      </c>
      <c r="I115" s="23"/>
    </row>
    <row r="116" spans="6:15" x14ac:dyDescent="0.2">
      <c r="F116" t="s">
        <v>60</v>
      </c>
      <c r="G116" s="55">
        <v>19.63</v>
      </c>
      <c r="I116" s="49"/>
    </row>
    <row r="118" spans="6:15" x14ac:dyDescent="0.2">
      <c r="G118" t="s">
        <v>78</v>
      </c>
      <c r="O118">
        <v>100</v>
      </c>
    </row>
    <row r="119" spans="6:15" ht="16" x14ac:dyDescent="0.2">
      <c r="F119" s="147" t="s">
        <v>59</v>
      </c>
      <c r="G119" s="47">
        <v>1.6256999999999999</v>
      </c>
      <c r="M119" s="153" t="s">
        <v>88</v>
      </c>
      <c r="N119" s="50">
        <v>2.0878000000000001</v>
      </c>
      <c r="O119">
        <f>N119*O118</f>
        <v>208.78</v>
      </c>
    </row>
    <row r="120" spans="6:15" ht="16" x14ac:dyDescent="0.2">
      <c r="F120" t="s">
        <v>77</v>
      </c>
      <c r="G120" s="49">
        <v>2.0579999999999998</v>
      </c>
      <c r="M120" s="153" t="s">
        <v>89</v>
      </c>
      <c r="N120" s="50"/>
    </row>
    <row r="121" spans="6:15" ht="16" x14ac:dyDescent="0.2">
      <c r="F121" t="s">
        <v>75</v>
      </c>
      <c r="G121" s="55">
        <v>2.08</v>
      </c>
      <c r="M121" s="153" t="s">
        <v>90</v>
      </c>
      <c r="N121" s="50">
        <v>3.22</v>
      </c>
    </row>
    <row r="122" spans="6:15" ht="16" x14ac:dyDescent="0.2">
      <c r="F122" t="s">
        <v>86</v>
      </c>
      <c r="G122" s="55">
        <v>2.1</v>
      </c>
      <c r="M122" s="153" t="s">
        <v>91</v>
      </c>
      <c r="N122" s="50">
        <v>1.2977000000000001</v>
      </c>
    </row>
    <row r="123" spans="6:15" ht="16" x14ac:dyDescent="0.2">
      <c r="F123" t="s">
        <v>76</v>
      </c>
      <c r="G123" s="55">
        <v>2.11</v>
      </c>
      <c r="M123" s="153" t="s">
        <v>92</v>
      </c>
      <c r="N123" s="50">
        <v>1.4073</v>
      </c>
    </row>
    <row r="124" spans="6:15" ht="16" x14ac:dyDescent="0.2">
      <c r="F124" t="s">
        <v>31</v>
      </c>
      <c r="G124" s="23">
        <v>2.1434000000000002</v>
      </c>
      <c r="M124" s="153" t="s">
        <v>93</v>
      </c>
      <c r="N124" s="50">
        <v>1.3627</v>
      </c>
    </row>
    <row r="125" spans="6:15" ht="16" x14ac:dyDescent="0.2">
      <c r="F125" t="s">
        <v>84</v>
      </c>
      <c r="G125" s="23">
        <v>2.1798000000000002</v>
      </c>
      <c r="M125" s="153" t="s">
        <v>94</v>
      </c>
      <c r="N125" s="50">
        <v>1.5013000000000001</v>
      </c>
    </row>
    <row r="126" spans="6:15" ht="16" x14ac:dyDescent="0.2">
      <c r="F126" t="s">
        <v>73</v>
      </c>
      <c r="G126" s="23">
        <v>2.2905000000000002</v>
      </c>
      <c r="M126" s="153" t="s">
        <v>95</v>
      </c>
      <c r="N126" s="50">
        <v>1.1200000000000001</v>
      </c>
    </row>
    <row r="127" spans="6:15" ht="16" x14ac:dyDescent="0.2">
      <c r="F127" t="s">
        <v>11</v>
      </c>
      <c r="G127" s="23">
        <v>2.3008000000000002</v>
      </c>
      <c r="M127" s="153" t="s">
        <v>96</v>
      </c>
      <c r="N127" s="50">
        <v>24472</v>
      </c>
    </row>
    <row r="128" spans="6:15" ht="16" x14ac:dyDescent="0.2">
      <c r="F128" t="s">
        <v>20</v>
      </c>
      <c r="G128" s="23">
        <v>3.0956000000000001</v>
      </c>
      <c r="M128" s="153" t="s">
        <v>97</v>
      </c>
      <c r="N128" s="50">
        <v>33689</v>
      </c>
    </row>
    <row r="129" spans="6:14" ht="16" x14ac:dyDescent="0.2">
      <c r="F129" t="s">
        <v>60</v>
      </c>
      <c r="G129" s="55">
        <v>3.47</v>
      </c>
      <c r="M129" s="153" t="s">
        <v>98</v>
      </c>
      <c r="N129" s="50">
        <v>16875</v>
      </c>
    </row>
    <row r="130" spans="6:14" ht="16" x14ac:dyDescent="0.2">
      <c r="M130" s="153" t="s">
        <v>99</v>
      </c>
      <c r="N130" s="50">
        <v>64761</v>
      </c>
    </row>
    <row r="131" spans="6:14" ht="32" x14ac:dyDescent="0.2">
      <c r="M131" s="154" t="s">
        <v>100</v>
      </c>
      <c r="N131" s="156" t="s">
        <v>101</v>
      </c>
    </row>
    <row r="132" spans="6:14" ht="16" x14ac:dyDescent="0.2">
      <c r="M132" s="153" t="s">
        <v>102</v>
      </c>
      <c r="N132" s="50">
        <v>44029</v>
      </c>
    </row>
    <row r="133" spans="6:14" ht="16" x14ac:dyDescent="0.2">
      <c r="M133" s="153" t="s">
        <v>103</v>
      </c>
      <c r="N133" s="50" t="s">
        <v>104</v>
      </c>
    </row>
    <row r="134" spans="6:14" ht="16" x14ac:dyDescent="0.2">
      <c r="M134" s="153" t="s">
        <v>105</v>
      </c>
      <c r="N134" s="50">
        <v>10920</v>
      </c>
    </row>
    <row r="135" spans="6:14" ht="16" x14ac:dyDescent="0.2">
      <c r="M135" s="153" t="s">
        <v>106</v>
      </c>
      <c r="N135" s="50">
        <v>51080</v>
      </c>
    </row>
    <row r="136" spans="6:14" ht="16" x14ac:dyDescent="0.2">
      <c r="M136" s="153" t="s">
        <v>107</v>
      </c>
      <c r="N136" s="50">
        <v>17451</v>
      </c>
    </row>
    <row r="137" spans="6:14" ht="16" x14ac:dyDescent="0.2">
      <c r="M137" s="153" t="s">
        <v>108</v>
      </c>
      <c r="N137" s="50">
        <v>17041</v>
      </c>
    </row>
    <row r="138" spans="6:14" ht="16" x14ac:dyDescent="0.2">
      <c r="M138" s="153" t="s">
        <v>109</v>
      </c>
      <c r="N138" s="50">
        <v>19325</v>
      </c>
    </row>
    <row r="139" spans="6:14" ht="16" x14ac:dyDescent="0.2">
      <c r="M139" s="153" t="s">
        <v>110</v>
      </c>
      <c r="N139" s="50">
        <v>2821</v>
      </c>
    </row>
    <row r="140" spans="6:14" ht="16" x14ac:dyDescent="0.2">
      <c r="M140" s="153" t="s">
        <v>111</v>
      </c>
      <c r="N140" s="50" t="s">
        <v>112</v>
      </c>
    </row>
    <row r="141" spans="6:14" ht="16" x14ac:dyDescent="0.2">
      <c r="M141" s="153" t="s">
        <v>113</v>
      </c>
      <c r="N141" s="50">
        <v>29203</v>
      </c>
    </row>
    <row r="142" spans="6:14" ht="16" x14ac:dyDescent="0.2">
      <c r="M142" s="153" t="s">
        <v>114</v>
      </c>
      <c r="N142" s="50">
        <v>51995</v>
      </c>
    </row>
    <row r="143" spans="6:14" ht="16" x14ac:dyDescent="0.2">
      <c r="M143" s="153" t="s">
        <v>115</v>
      </c>
      <c r="N143" s="50" t="s">
        <v>116</v>
      </c>
    </row>
    <row r="144" spans="6:14" ht="16" x14ac:dyDescent="0.2">
      <c r="M144" s="153" t="s">
        <v>117</v>
      </c>
      <c r="N144" s="50" t="s">
        <v>118</v>
      </c>
    </row>
    <row r="145" spans="13:14" ht="16" x14ac:dyDescent="0.2">
      <c r="M145" s="153" t="s">
        <v>119</v>
      </c>
      <c r="N145" s="50" t="s">
        <v>120</v>
      </c>
    </row>
    <row r="146" spans="13:14" ht="16" x14ac:dyDescent="0.2">
      <c r="M146" s="153" t="s">
        <v>121</v>
      </c>
      <c r="N146" s="50" t="s">
        <v>122</v>
      </c>
    </row>
    <row r="147" spans="13:14" ht="16" x14ac:dyDescent="0.2">
      <c r="M147" s="153" t="s">
        <v>123</v>
      </c>
      <c r="N147" s="50" t="s">
        <v>124</v>
      </c>
    </row>
    <row r="148" spans="13:14" ht="16" x14ac:dyDescent="0.2">
      <c r="M148" s="153" t="s">
        <v>125</v>
      </c>
      <c r="N148" s="50" t="s">
        <v>126</v>
      </c>
    </row>
    <row r="149" spans="13:14" ht="16" x14ac:dyDescent="0.2">
      <c r="M149" s="153" t="s">
        <v>127</v>
      </c>
      <c r="N149" s="50">
        <v>19685</v>
      </c>
    </row>
    <row r="150" spans="13:14" ht="16" x14ac:dyDescent="0.2">
      <c r="M150" s="153" t="s">
        <v>128</v>
      </c>
      <c r="N150" s="50" t="s">
        <v>118</v>
      </c>
    </row>
    <row r="151" spans="13:14" ht="16" x14ac:dyDescent="0.2">
      <c r="M151" s="153" t="s">
        <v>129</v>
      </c>
      <c r="N151" s="50">
        <v>27358</v>
      </c>
    </row>
    <row r="152" spans="13:14" ht="16" x14ac:dyDescent="0.2">
      <c r="M152" s="153" t="s">
        <v>130</v>
      </c>
      <c r="N152" s="50" t="s">
        <v>118</v>
      </c>
    </row>
    <row r="153" spans="13:14" ht="16" x14ac:dyDescent="0.2">
      <c r="M153" s="153" t="s">
        <v>131</v>
      </c>
      <c r="N153" s="50" t="s">
        <v>132</v>
      </c>
    </row>
    <row r="154" spans="13:14" ht="16" x14ac:dyDescent="0.2">
      <c r="M154" s="153" t="s">
        <v>133</v>
      </c>
      <c r="N154" s="50" t="s">
        <v>134</v>
      </c>
    </row>
    <row r="155" spans="13:14" ht="16" x14ac:dyDescent="0.2">
      <c r="M155" s="155" t="s">
        <v>135</v>
      </c>
      <c r="N155" s="50">
        <v>23788</v>
      </c>
    </row>
    <row r="156" spans="13:14" ht="16" x14ac:dyDescent="0.2">
      <c r="M156" s="153" t="s">
        <v>136</v>
      </c>
      <c r="N156" s="50">
        <v>10333</v>
      </c>
    </row>
    <row r="157" spans="13:14" ht="16" x14ac:dyDescent="0.2">
      <c r="M157" s="153" t="s">
        <v>137</v>
      </c>
      <c r="N157" s="50" t="s">
        <v>138</v>
      </c>
    </row>
    <row r="158" spans="13:14" ht="16" x14ac:dyDescent="0.2">
      <c r="M158" s="153" t="s">
        <v>139</v>
      </c>
      <c r="N158" s="50" t="s">
        <v>140</v>
      </c>
    </row>
    <row r="159" spans="13:14" ht="16" x14ac:dyDescent="0.2">
      <c r="M159" s="153" t="s">
        <v>141</v>
      </c>
      <c r="N159" s="50" t="s">
        <v>142</v>
      </c>
    </row>
    <row r="160" spans="13:14" ht="16" x14ac:dyDescent="0.2">
      <c r="M160" s="153" t="s">
        <v>143</v>
      </c>
      <c r="N160" s="50">
        <v>16923</v>
      </c>
    </row>
    <row r="161" spans="13:14" ht="16" x14ac:dyDescent="0.2">
      <c r="M161" s="153" t="s">
        <v>144</v>
      </c>
      <c r="N161" s="50">
        <v>1.1299999999999999</v>
      </c>
    </row>
    <row r="162" spans="13:14" ht="16" x14ac:dyDescent="0.2">
      <c r="M162" s="153" t="s">
        <v>145</v>
      </c>
      <c r="N162" s="50" t="s">
        <v>146</v>
      </c>
    </row>
    <row r="163" spans="13:14" ht="16" x14ac:dyDescent="0.2">
      <c r="M163" s="153" t="s">
        <v>147</v>
      </c>
      <c r="N163" s="50">
        <v>15746</v>
      </c>
    </row>
    <row r="164" spans="13:14" ht="16" x14ac:dyDescent="0.2">
      <c r="M164" s="153" t="s">
        <v>148</v>
      </c>
      <c r="N164" s="50" t="s">
        <v>149</v>
      </c>
    </row>
    <row r="165" spans="13:14" ht="16" x14ac:dyDescent="0.2">
      <c r="M165" s="153" t="s">
        <v>150</v>
      </c>
      <c r="N165" s="50" t="s">
        <v>134</v>
      </c>
    </row>
    <row r="166" spans="13:14" ht="16" x14ac:dyDescent="0.2">
      <c r="M166" s="153" t="s">
        <v>151</v>
      </c>
      <c r="N166" s="50">
        <v>74254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4C8E-4595-4F1F-87BE-1DEB1A5152D1}">
  <dimension ref="A1:M72"/>
  <sheetViews>
    <sheetView topLeftCell="C61" zoomScale="43" zoomScaleNormal="40" workbookViewId="0">
      <selection activeCell="G63" sqref="G63:H72"/>
    </sheetView>
  </sheetViews>
  <sheetFormatPr baseColWidth="10" defaultColWidth="8.83203125" defaultRowHeight="15" x14ac:dyDescent="0.2"/>
  <cols>
    <col min="1" max="1" width="39.6640625" customWidth="1"/>
    <col min="2" max="2" width="14.6640625" style="130" bestFit="1" customWidth="1"/>
    <col min="3" max="3" width="14.6640625" style="130" customWidth="1"/>
    <col min="6" max="6" width="45.6640625" customWidth="1"/>
    <col min="7" max="7" width="35.5" customWidth="1"/>
    <col min="8" max="8" width="23.5" customWidth="1"/>
    <col min="12" max="12" width="35.1640625" customWidth="1"/>
    <col min="13" max="13" width="17.5" customWidth="1"/>
  </cols>
  <sheetData>
    <row r="1" spans="1:13" x14ac:dyDescent="0.2">
      <c r="A1" t="s">
        <v>152</v>
      </c>
      <c r="B1" t="s">
        <v>1</v>
      </c>
      <c r="E1" s="8"/>
      <c r="F1" s="8"/>
      <c r="G1" s="8"/>
      <c r="H1" s="8"/>
      <c r="I1" s="8"/>
      <c r="J1" s="8"/>
      <c r="K1" s="8"/>
    </row>
    <row r="2" spans="1:13" x14ac:dyDescent="0.2">
      <c r="B2" s="135">
        <v>2026</v>
      </c>
      <c r="C2" s="135">
        <v>2025</v>
      </c>
      <c r="G2" t="s">
        <v>409</v>
      </c>
      <c r="L2" t="s">
        <v>5</v>
      </c>
    </row>
    <row r="3" spans="1:13" x14ac:dyDescent="0.2">
      <c r="A3" s="129" t="s">
        <v>7</v>
      </c>
      <c r="B3" s="130">
        <v>388451</v>
      </c>
      <c r="C3" s="136">
        <v>451716</v>
      </c>
      <c r="G3" t="s">
        <v>8</v>
      </c>
      <c r="H3" s="168">
        <v>23113584</v>
      </c>
      <c r="L3" s="132" t="s">
        <v>9</v>
      </c>
      <c r="M3" s="130">
        <v>67581784</v>
      </c>
    </row>
    <row r="4" spans="1:13" x14ac:dyDescent="0.2">
      <c r="A4" s="129" t="s">
        <v>10</v>
      </c>
      <c r="B4" s="130">
        <v>212437</v>
      </c>
      <c r="C4" s="136">
        <v>143190</v>
      </c>
      <c r="G4" t="s">
        <v>11</v>
      </c>
      <c r="H4" s="168">
        <v>20188868</v>
      </c>
      <c r="L4" s="132" t="s">
        <v>12</v>
      </c>
      <c r="M4" s="130">
        <v>65633896</v>
      </c>
    </row>
    <row r="5" spans="1:13" x14ac:dyDescent="0.2">
      <c r="A5" s="129" t="s">
        <v>13</v>
      </c>
      <c r="B5" s="130">
        <v>120301</v>
      </c>
      <c r="C5" s="136">
        <v>410915</v>
      </c>
      <c r="G5" t="s">
        <v>14</v>
      </c>
      <c r="H5" s="168">
        <v>18822819</v>
      </c>
      <c r="L5" s="132" t="s">
        <v>15</v>
      </c>
      <c r="M5" s="130">
        <v>62215020</v>
      </c>
    </row>
    <row r="6" spans="1:13" x14ac:dyDescent="0.2">
      <c r="A6" s="129" t="s">
        <v>16</v>
      </c>
      <c r="B6" s="130">
        <v>415708</v>
      </c>
      <c r="C6" s="136">
        <v>438402</v>
      </c>
      <c r="G6" t="s">
        <v>17</v>
      </c>
      <c r="H6" s="168">
        <v>17879380</v>
      </c>
      <c r="L6" s="132" t="s">
        <v>18</v>
      </c>
      <c r="M6" s="130">
        <v>43944136</v>
      </c>
    </row>
    <row r="7" spans="1:13" x14ac:dyDescent="0.2">
      <c r="A7" s="129" t="s">
        <v>19</v>
      </c>
      <c r="B7" s="130">
        <v>933</v>
      </c>
      <c r="C7" s="136">
        <v>2231</v>
      </c>
      <c r="G7" t="s">
        <v>20</v>
      </c>
      <c r="H7" s="168">
        <v>16657218</v>
      </c>
      <c r="L7" s="132" t="s">
        <v>21</v>
      </c>
      <c r="M7" s="130">
        <v>43177402</v>
      </c>
    </row>
    <row r="8" spans="1:13" x14ac:dyDescent="0.2">
      <c r="A8" s="129" t="s">
        <v>22</v>
      </c>
      <c r="B8" s="130">
        <v>0</v>
      </c>
      <c r="C8" s="136">
        <v>1113064</v>
      </c>
      <c r="G8" t="s">
        <v>23</v>
      </c>
      <c r="H8" s="168">
        <v>15519841</v>
      </c>
      <c r="L8" s="132" t="s">
        <v>24</v>
      </c>
      <c r="M8" s="130">
        <v>37890261</v>
      </c>
    </row>
    <row r="9" spans="1:13" x14ac:dyDescent="0.2">
      <c r="A9" s="129" t="s">
        <v>25</v>
      </c>
      <c r="B9" s="130">
        <v>129778</v>
      </c>
      <c r="C9" s="136">
        <v>85797</v>
      </c>
      <c r="G9" t="s">
        <v>26</v>
      </c>
      <c r="H9" s="168">
        <v>15482815</v>
      </c>
      <c r="L9" s="132" t="s">
        <v>27</v>
      </c>
      <c r="M9" s="130">
        <v>30028776.379999999</v>
      </c>
    </row>
    <row r="10" spans="1:13" x14ac:dyDescent="0.2">
      <c r="G10" t="s">
        <v>29</v>
      </c>
      <c r="H10" s="168">
        <v>9964790</v>
      </c>
      <c r="L10" s="132" t="s">
        <v>30</v>
      </c>
      <c r="M10" s="130">
        <v>29688346</v>
      </c>
    </row>
    <row r="11" spans="1:13" x14ac:dyDescent="0.2">
      <c r="A11" t="s">
        <v>33</v>
      </c>
      <c r="B11" s="135">
        <v>2026</v>
      </c>
      <c r="C11" s="135">
        <v>2025</v>
      </c>
      <c r="G11" t="s">
        <v>31</v>
      </c>
      <c r="H11" s="168">
        <v>9211281</v>
      </c>
      <c r="L11" s="132" t="s">
        <v>32</v>
      </c>
      <c r="M11" s="130">
        <v>27519452</v>
      </c>
    </row>
    <row r="12" spans="1:13" x14ac:dyDescent="0.2">
      <c r="A12" s="129" t="s">
        <v>36</v>
      </c>
      <c r="B12" s="130">
        <v>318296</v>
      </c>
      <c r="G12" t="s">
        <v>34</v>
      </c>
      <c r="H12" s="168">
        <v>5930244</v>
      </c>
      <c r="L12" s="132" t="s">
        <v>35</v>
      </c>
      <c r="M12" s="130">
        <v>23131460</v>
      </c>
    </row>
    <row r="13" spans="1:13" x14ac:dyDescent="0.2">
      <c r="A13" s="129" t="s">
        <v>10</v>
      </c>
      <c r="B13" s="32">
        <v>169210</v>
      </c>
      <c r="C13" s="32"/>
      <c r="H13" s="130"/>
    </row>
    <row r="14" spans="1:13" x14ac:dyDescent="0.2">
      <c r="A14" s="129" t="s">
        <v>13</v>
      </c>
      <c r="B14" s="32">
        <v>104953</v>
      </c>
      <c r="C14" s="32"/>
      <c r="G14" t="s">
        <v>37</v>
      </c>
      <c r="H14" s="130"/>
      <c r="L14" t="s">
        <v>38</v>
      </c>
    </row>
    <row r="15" spans="1:13" x14ac:dyDescent="0.2">
      <c r="A15" s="129" t="s">
        <v>16</v>
      </c>
      <c r="B15" s="32">
        <v>352933</v>
      </c>
      <c r="C15" s="32"/>
      <c r="G15" t="s">
        <v>20</v>
      </c>
      <c r="H15" s="168">
        <v>12684265</v>
      </c>
      <c r="L15" s="131" t="s">
        <v>12</v>
      </c>
      <c r="M15" s="130">
        <v>20542695</v>
      </c>
    </row>
    <row r="16" spans="1:13" x14ac:dyDescent="0.2">
      <c r="A16" s="129" t="s">
        <v>19</v>
      </c>
      <c r="B16" s="130">
        <v>607</v>
      </c>
      <c r="G16" t="s">
        <v>8</v>
      </c>
      <c r="H16" s="168">
        <v>9440328</v>
      </c>
      <c r="L16" s="131" t="s">
        <v>9</v>
      </c>
      <c r="M16" s="130">
        <v>16244253</v>
      </c>
    </row>
    <row r="17" spans="1:13" x14ac:dyDescent="0.2">
      <c r="A17" s="129" t="s">
        <v>22</v>
      </c>
      <c r="B17" s="130">
        <v>0</v>
      </c>
      <c r="G17" t="s">
        <v>17</v>
      </c>
      <c r="H17" s="168">
        <v>9153872.6199999992</v>
      </c>
      <c r="L17" s="131" t="s">
        <v>32</v>
      </c>
      <c r="M17" s="130">
        <v>11633501</v>
      </c>
    </row>
    <row r="18" spans="1:13" x14ac:dyDescent="0.2">
      <c r="A18" s="129" t="s">
        <v>25</v>
      </c>
      <c r="B18" s="32">
        <v>8030</v>
      </c>
      <c r="C18" s="32"/>
      <c r="G18" t="s">
        <v>26</v>
      </c>
      <c r="H18" s="168">
        <v>7122831</v>
      </c>
      <c r="L18" s="131" t="s">
        <v>35</v>
      </c>
      <c r="M18" s="130">
        <v>9547104</v>
      </c>
    </row>
    <row r="19" spans="1:13" x14ac:dyDescent="0.2">
      <c r="G19" t="s">
        <v>11</v>
      </c>
      <c r="H19" s="168">
        <v>6302802</v>
      </c>
      <c r="L19" s="131" t="s">
        <v>21</v>
      </c>
      <c r="M19" s="130">
        <v>8980958</v>
      </c>
    </row>
    <row r="20" spans="1:13" x14ac:dyDescent="0.2">
      <c r="A20" t="s">
        <v>40</v>
      </c>
      <c r="B20" s="135">
        <v>2026</v>
      </c>
      <c r="C20" s="135">
        <v>2025</v>
      </c>
      <c r="G20" t="s">
        <v>29</v>
      </c>
      <c r="H20" s="168">
        <v>4395313</v>
      </c>
      <c r="L20" s="131" t="s">
        <v>39</v>
      </c>
      <c r="M20" s="130">
        <v>7764902</v>
      </c>
    </row>
    <row r="21" spans="1:13" x14ac:dyDescent="0.2">
      <c r="A21" s="129" t="s">
        <v>36</v>
      </c>
      <c r="B21" s="130">
        <v>11902</v>
      </c>
      <c r="G21" t="s">
        <v>14</v>
      </c>
      <c r="H21" s="168">
        <v>4329177</v>
      </c>
      <c r="L21" s="131" t="s">
        <v>15</v>
      </c>
      <c r="M21" s="130">
        <v>7737193</v>
      </c>
    </row>
    <row r="22" spans="1:13" x14ac:dyDescent="0.2">
      <c r="A22" s="129" t="s">
        <v>10</v>
      </c>
      <c r="B22" s="130">
        <v>-7144</v>
      </c>
      <c r="G22" t="s">
        <v>23</v>
      </c>
      <c r="H22" s="168">
        <v>3275254</v>
      </c>
      <c r="L22" s="131" t="s">
        <v>41</v>
      </c>
      <c r="M22" s="130">
        <v>7734754</v>
      </c>
    </row>
    <row r="23" spans="1:13" x14ac:dyDescent="0.2">
      <c r="A23" s="129" t="s">
        <v>13</v>
      </c>
      <c r="B23" s="130">
        <v>71356</v>
      </c>
      <c r="G23" t="s">
        <v>31</v>
      </c>
      <c r="H23" s="168">
        <v>3052773</v>
      </c>
      <c r="L23" s="131" t="s">
        <v>24</v>
      </c>
      <c r="M23" s="130">
        <v>7012069</v>
      </c>
    </row>
    <row r="24" spans="1:13" x14ac:dyDescent="0.2">
      <c r="A24" s="129" t="s">
        <v>16</v>
      </c>
      <c r="B24" s="130">
        <v>41333</v>
      </c>
      <c r="G24" t="s">
        <v>34</v>
      </c>
      <c r="H24" s="168">
        <v>2168088</v>
      </c>
      <c r="L24" s="131" t="s">
        <v>30</v>
      </c>
      <c r="M24" s="130">
        <v>6842973</v>
      </c>
    </row>
    <row r="25" spans="1:13" x14ac:dyDescent="0.2">
      <c r="A25" s="129" t="s">
        <v>19</v>
      </c>
      <c r="B25" s="130">
        <v>3726</v>
      </c>
      <c r="H25" s="130"/>
    </row>
    <row r="26" spans="1:13" x14ac:dyDescent="0.2">
      <c r="A26" s="129" t="s">
        <v>22</v>
      </c>
      <c r="G26" t="s">
        <v>42</v>
      </c>
      <c r="H26" s="130"/>
      <c r="L26" t="s">
        <v>43</v>
      </c>
    </row>
    <row r="27" spans="1:13" x14ac:dyDescent="0.2">
      <c r="A27" s="129" t="s">
        <v>25</v>
      </c>
      <c r="B27" s="130">
        <v>487</v>
      </c>
      <c r="G27" t="s">
        <v>26</v>
      </c>
      <c r="H27" s="168">
        <v>3355643</v>
      </c>
      <c r="L27" s="131" t="s">
        <v>15</v>
      </c>
      <c r="M27" s="130">
        <v>1868524</v>
      </c>
    </row>
    <row r="28" spans="1:13" x14ac:dyDescent="0.2">
      <c r="G28" t="s">
        <v>8</v>
      </c>
      <c r="H28" s="168">
        <v>2358190</v>
      </c>
      <c r="L28" s="131" t="s">
        <v>24</v>
      </c>
      <c r="M28" s="130">
        <v>1603290</v>
      </c>
    </row>
    <row r="29" spans="1:13" x14ac:dyDescent="0.2">
      <c r="A29" t="s">
        <v>46</v>
      </c>
      <c r="B29" s="135">
        <v>2026</v>
      </c>
      <c r="C29" s="135">
        <v>2025</v>
      </c>
      <c r="G29" t="s">
        <v>44</v>
      </c>
      <c r="H29" s="168">
        <v>1042325</v>
      </c>
      <c r="L29" s="131" t="s">
        <v>12</v>
      </c>
      <c r="M29" s="130">
        <v>1201012</v>
      </c>
    </row>
    <row r="30" spans="1:13" x14ac:dyDescent="0.2">
      <c r="A30" s="129" t="s">
        <v>36</v>
      </c>
      <c r="B30" s="130">
        <v>2780048</v>
      </c>
      <c r="G30" t="s">
        <v>47</v>
      </c>
      <c r="H30" s="168">
        <v>835210</v>
      </c>
      <c r="L30" s="131" t="s">
        <v>30</v>
      </c>
      <c r="M30" s="130">
        <v>1158058</v>
      </c>
    </row>
    <row r="31" spans="1:13" x14ac:dyDescent="0.2">
      <c r="A31" s="129" t="s">
        <v>10</v>
      </c>
      <c r="B31" s="130">
        <v>1576800</v>
      </c>
      <c r="G31" s="162" t="s">
        <v>298</v>
      </c>
      <c r="H31" s="168">
        <v>781383</v>
      </c>
      <c r="L31" s="131" t="s">
        <v>45</v>
      </c>
      <c r="M31" s="130">
        <v>889819</v>
      </c>
    </row>
    <row r="32" spans="1:13" x14ac:dyDescent="0.2">
      <c r="A32" s="129" t="s">
        <v>13</v>
      </c>
      <c r="B32" s="130">
        <v>-2005410</v>
      </c>
      <c r="G32" s="162" t="s">
        <v>259</v>
      </c>
      <c r="H32" s="168">
        <v>776609.26</v>
      </c>
      <c r="L32" s="131" t="s">
        <v>21</v>
      </c>
      <c r="M32" s="130">
        <v>853913</v>
      </c>
    </row>
    <row r="33" spans="1:13" x14ac:dyDescent="0.2">
      <c r="A33" s="129" t="s">
        <v>16</v>
      </c>
      <c r="B33" s="130">
        <v>1799317</v>
      </c>
      <c r="G33" s="162" t="s">
        <v>269</v>
      </c>
      <c r="H33" s="168">
        <v>740222</v>
      </c>
      <c r="L33" s="131" t="s">
        <v>9</v>
      </c>
      <c r="M33" s="130">
        <v>824494</v>
      </c>
    </row>
    <row r="34" spans="1:13" x14ac:dyDescent="0.2">
      <c r="A34" s="129" t="s">
        <v>19</v>
      </c>
      <c r="B34" s="130">
        <v>897366</v>
      </c>
      <c r="G34" s="162" t="s">
        <v>256</v>
      </c>
      <c r="H34" s="168">
        <v>728785</v>
      </c>
      <c r="L34" s="131" t="s">
        <v>18</v>
      </c>
      <c r="M34" s="130">
        <v>807599</v>
      </c>
    </row>
    <row r="35" spans="1:13" x14ac:dyDescent="0.2">
      <c r="A35" s="129" t="s">
        <v>22</v>
      </c>
      <c r="G35" s="162" t="s">
        <v>301</v>
      </c>
      <c r="H35" s="168">
        <v>653626</v>
      </c>
      <c r="L35" s="131" t="s">
        <v>32</v>
      </c>
      <c r="M35" s="130">
        <v>642520</v>
      </c>
    </row>
    <row r="36" spans="1:13" x14ac:dyDescent="0.2">
      <c r="A36" s="129" t="s">
        <v>25</v>
      </c>
      <c r="B36" s="130">
        <v>908116</v>
      </c>
      <c r="G36" s="162" t="s">
        <v>300</v>
      </c>
      <c r="H36" s="168">
        <v>534417</v>
      </c>
      <c r="L36" s="131" t="s">
        <v>48</v>
      </c>
      <c r="M36" s="130">
        <v>619598</v>
      </c>
    </row>
    <row r="37" spans="1:13" x14ac:dyDescent="0.2">
      <c r="H37" s="130"/>
    </row>
    <row r="38" spans="1:13" x14ac:dyDescent="0.2">
      <c r="A38" t="s">
        <v>52</v>
      </c>
      <c r="B38" s="135">
        <v>2026</v>
      </c>
      <c r="C38" s="135">
        <v>2025</v>
      </c>
      <c r="G38" t="s">
        <v>49</v>
      </c>
      <c r="H38" s="130"/>
      <c r="L38" t="s">
        <v>50</v>
      </c>
    </row>
    <row r="39" spans="1:13" x14ac:dyDescent="0.2">
      <c r="A39" s="129" t="s">
        <v>36</v>
      </c>
      <c r="B39" s="32">
        <v>6397</v>
      </c>
      <c r="C39" s="32"/>
      <c r="G39" t="s">
        <v>26</v>
      </c>
      <c r="H39" s="168">
        <v>309594</v>
      </c>
      <c r="L39" s="130" t="s">
        <v>21</v>
      </c>
      <c r="M39" s="130">
        <v>401972</v>
      </c>
    </row>
    <row r="40" spans="1:13" x14ac:dyDescent="0.2">
      <c r="A40" s="129" t="s">
        <v>10</v>
      </c>
      <c r="B40" s="32">
        <v>-5736</v>
      </c>
      <c r="C40" s="32"/>
      <c r="G40" s="162" t="s">
        <v>269</v>
      </c>
      <c r="H40" s="168">
        <v>217199</v>
      </c>
      <c r="L40" s="130" t="s">
        <v>12</v>
      </c>
      <c r="M40" s="130">
        <v>144845</v>
      </c>
    </row>
    <row r="41" spans="1:13" x14ac:dyDescent="0.2">
      <c r="A41" s="129" t="s">
        <v>13</v>
      </c>
      <c r="B41" s="32">
        <v>70585</v>
      </c>
      <c r="C41" s="32"/>
      <c r="G41" t="s">
        <v>31</v>
      </c>
      <c r="H41" s="168">
        <v>210330</v>
      </c>
      <c r="L41" s="130" t="s">
        <v>15</v>
      </c>
      <c r="M41" s="130">
        <v>116009</v>
      </c>
    </row>
    <row r="42" spans="1:13" x14ac:dyDescent="0.2">
      <c r="A42" s="129" t="s">
        <v>16</v>
      </c>
      <c r="B42" s="32">
        <v>42447</v>
      </c>
      <c r="C42" s="32"/>
      <c r="G42" t="s">
        <v>8</v>
      </c>
      <c r="H42" s="168">
        <v>162821</v>
      </c>
      <c r="L42" s="130" t="s">
        <v>18</v>
      </c>
      <c r="M42" s="130">
        <v>106537</v>
      </c>
    </row>
    <row r="43" spans="1:13" x14ac:dyDescent="0.2">
      <c r="A43" s="129" t="s">
        <v>19</v>
      </c>
      <c r="B43" s="130">
        <v>3594</v>
      </c>
      <c r="G43" s="162" t="s">
        <v>259</v>
      </c>
      <c r="H43" s="168">
        <v>161292.54</v>
      </c>
      <c r="L43" s="130" t="s">
        <v>24</v>
      </c>
      <c r="M43" s="130">
        <v>63060</v>
      </c>
    </row>
    <row r="44" spans="1:13" x14ac:dyDescent="0.2">
      <c r="A44" s="129" t="s">
        <v>22</v>
      </c>
      <c r="G44" s="162" t="s">
        <v>298</v>
      </c>
      <c r="H44" s="168">
        <v>151433</v>
      </c>
      <c r="L44" s="130" t="s">
        <v>53</v>
      </c>
      <c r="M44" s="130">
        <v>60587</v>
      </c>
    </row>
    <row r="45" spans="1:13" x14ac:dyDescent="0.2">
      <c r="A45" s="129" t="s">
        <v>25</v>
      </c>
      <c r="B45" s="32">
        <v>5420</v>
      </c>
      <c r="C45" s="32"/>
      <c r="G45" s="162" t="s">
        <v>301</v>
      </c>
      <c r="H45" s="168">
        <v>137125</v>
      </c>
      <c r="L45" s="130" t="s">
        <v>54</v>
      </c>
      <c r="M45" s="130">
        <v>37479</v>
      </c>
    </row>
    <row r="46" spans="1:13" x14ac:dyDescent="0.2">
      <c r="G46" s="162" t="s">
        <v>273</v>
      </c>
      <c r="H46" s="168">
        <v>110921</v>
      </c>
      <c r="L46" s="130" t="s">
        <v>45</v>
      </c>
      <c r="M46" s="130">
        <v>19914</v>
      </c>
    </row>
    <row r="47" spans="1:13" x14ac:dyDescent="0.2">
      <c r="A47" t="s">
        <v>63</v>
      </c>
      <c r="B47" s="135">
        <v>2026</v>
      </c>
      <c r="C47" s="135">
        <v>2025</v>
      </c>
      <c r="G47" s="162" t="s">
        <v>311</v>
      </c>
      <c r="H47" s="168">
        <v>110201</v>
      </c>
      <c r="L47" s="130" t="s">
        <v>56</v>
      </c>
      <c r="M47" s="130">
        <v>19796</v>
      </c>
    </row>
    <row r="48" spans="1:13" x14ac:dyDescent="0.2">
      <c r="A48" s="129" t="s">
        <v>36</v>
      </c>
      <c r="B48" s="23">
        <v>1.3494999999999999</v>
      </c>
      <c r="C48" s="23"/>
      <c r="G48" s="162" t="s">
        <v>260</v>
      </c>
      <c r="H48" s="168">
        <v>110157</v>
      </c>
      <c r="L48" s="130" t="s">
        <v>32</v>
      </c>
      <c r="M48" s="130">
        <v>19297</v>
      </c>
    </row>
    <row r="49" spans="1:13" x14ac:dyDescent="0.2">
      <c r="A49" s="129" t="s">
        <v>10</v>
      </c>
      <c r="B49" s="23">
        <v>1.6526000000000001</v>
      </c>
      <c r="C49" s="23"/>
    </row>
    <row r="50" spans="1:13" x14ac:dyDescent="0.2">
      <c r="A50" s="129" t="s">
        <v>13</v>
      </c>
      <c r="B50" s="23">
        <v>-1.7114</v>
      </c>
      <c r="C50" s="23"/>
      <c r="G50" t="s">
        <v>57</v>
      </c>
      <c r="L50" t="s">
        <v>58</v>
      </c>
    </row>
    <row r="51" spans="1:13" x14ac:dyDescent="0.2">
      <c r="A51" s="129" t="s">
        <v>16</v>
      </c>
      <c r="B51" s="55">
        <v>1.92</v>
      </c>
      <c r="C51" s="55"/>
      <c r="G51" t="s">
        <v>60</v>
      </c>
      <c r="H51" s="169">
        <v>23.96</v>
      </c>
      <c r="L51" s="129" t="s">
        <v>61</v>
      </c>
      <c r="M51" s="55">
        <v>29.74</v>
      </c>
    </row>
    <row r="52" spans="1:13" x14ac:dyDescent="0.2">
      <c r="A52" s="129" t="s">
        <v>19</v>
      </c>
      <c r="B52" s="49">
        <v>11.586</v>
      </c>
      <c r="C52" s="49"/>
      <c r="G52" s="162" t="s">
        <v>279</v>
      </c>
      <c r="H52" s="169">
        <v>8.77</v>
      </c>
      <c r="L52" s="129" t="s">
        <v>64</v>
      </c>
      <c r="M52" s="55">
        <v>17.34</v>
      </c>
    </row>
    <row r="53" spans="1:13" x14ac:dyDescent="0.2">
      <c r="A53" s="129" t="s">
        <v>22</v>
      </c>
      <c r="B53" s="55"/>
      <c r="C53" s="55"/>
      <c r="G53" t="s">
        <v>20</v>
      </c>
      <c r="H53" s="170">
        <v>8.1655999999999995</v>
      </c>
      <c r="L53" s="129" t="s">
        <v>39</v>
      </c>
      <c r="M53" s="23">
        <v>13.703900000000001</v>
      </c>
    </row>
    <row r="54" spans="1:13" x14ac:dyDescent="0.2">
      <c r="A54" s="129" t="s">
        <v>25</v>
      </c>
      <c r="B54" s="23">
        <v>4.4126000000000003</v>
      </c>
      <c r="C54" s="23"/>
      <c r="G54" t="s">
        <v>65</v>
      </c>
      <c r="H54" s="169">
        <v>7.99</v>
      </c>
      <c r="L54" s="129" t="s">
        <v>68</v>
      </c>
      <c r="M54" s="55">
        <v>11.771000000000001</v>
      </c>
    </row>
    <row r="55" spans="1:13" x14ac:dyDescent="0.2">
      <c r="G55" s="162" t="s">
        <v>316</v>
      </c>
      <c r="H55" s="170">
        <v>7.0111999999999997</v>
      </c>
      <c r="L55" s="129" t="s">
        <v>71</v>
      </c>
      <c r="M55" s="55">
        <v>10.99</v>
      </c>
    </row>
    <row r="56" spans="1:13" x14ac:dyDescent="0.2">
      <c r="A56" t="s">
        <v>80</v>
      </c>
      <c r="B56" s="135">
        <v>2026</v>
      </c>
      <c r="C56" s="135">
        <v>2025</v>
      </c>
      <c r="G56" s="162" t="s">
        <v>305</v>
      </c>
      <c r="H56" s="169">
        <v>6.58</v>
      </c>
      <c r="L56" s="129" t="s">
        <v>72</v>
      </c>
      <c r="M56" s="55">
        <v>9</v>
      </c>
    </row>
    <row r="57" spans="1:13" x14ac:dyDescent="0.2">
      <c r="A57" s="129" t="s">
        <v>36</v>
      </c>
      <c r="B57" s="134">
        <v>1.2028000000000001</v>
      </c>
      <c r="C57" s="134"/>
      <c r="G57" s="162" t="s">
        <v>303</v>
      </c>
      <c r="H57" s="169">
        <v>6.35</v>
      </c>
      <c r="L57" s="129" t="s">
        <v>69</v>
      </c>
      <c r="M57" s="55">
        <v>8.66</v>
      </c>
    </row>
    <row r="58" spans="1:13" x14ac:dyDescent="0.2">
      <c r="A58" s="129" t="s">
        <v>10</v>
      </c>
      <c r="B58" s="134">
        <v>1.3035000000000001</v>
      </c>
      <c r="C58" s="134"/>
      <c r="G58" s="162" t="s">
        <v>304</v>
      </c>
      <c r="H58" s="170">
        <v>5.9429999999999996</v>
      </c>
      <c r="L58" s="129" t="s">
        <v>66</v>
      </c>
      <c r="M58" s="23">
        <v>8.5672999999999995</v>
      </c>
    </row>
    <row r="59" spans="1:13" x14ac:dyDescent="0.2">
      <c r="A59" s="129" t="s">
        <v>13</v>
      </c>
      <c r="B59" s="134">
        <v>0.92100000000000004</v>
      </c>
      <c r="C59" s="134"/>
      <c r="G59" s="162" t="s">
        <v>307</v>
      </c>
      <c r="H59" s="170">
        <v>5.8383000000000003</v>
      </c>
      <c r="L59" s="129" t="s">
        <v>30</v>
      </c>
      <c r="M59" s="23">
        <v>8.3727</v>
      </c>
    </row>
    <row r="60" spans="1:13" x14ac:dyDescent="0.2">
      <c r="A60" s="129" t="s">
        <v>16</v>
      </c>
      <c r="B60" s="134">
        <v>1.92</v>
      </c>
      <c r="C60" s="134"/>
      <c r="G60" s="162" t="s">
        <v>268</v>
      </c>
      <c r="H60" s="170">
        <v>5.5467000000000004</v>
      </c>
      <c r="L60" s="129" t="s">
        <v>62</v>
      </c>
      <c r="M60" s="23">
        <v>7.9726999999999997</v>
      </c>
    </row>
    <row r="61" spans="1:13" x14ac:dyDescent="0.2">
      <c r="A61" s="129" t="s">
        <v>19</v>
      </c>
      <c r="B61" s="134">
        <v>3.4201000000000001</v>
      </c>
      <c r="C61" s="134"/>
    </row>
    <row r="62" spans="1:13" x14ac:dyDescent="0.2">
      <c r="A62" s="129" t="s">
        <v>22</v>
      </c>
      <c r="B62" s="134"/>
      <c r="C62" s="134"/>
      <c r="G62" t="s">
        <v>78</v>
      </c>
      <c r="L62" t="s">
        <v>79</v>
      </c>
    </row>
    <row r="63" spans="1:13" x14ac:dyDescent="0.2">
      <c r="A63" s="129" t="s">
        <v>25</v>
      </c>
      <c r="B63" s="134">
        <v>1.6113999999999999</v>
      </c>
      <c r="C63" s="134"/>
      <c r="G63" t="s">
        <v>60</v>
      </c>
      <c r="H63" s="169">
        <v>3.85</v>
      </c>
      <c r="L63" s="129" t="s">
        <v>61</v>
      </c>
      <c r="M63" s="55">
        <v>7.79</v>
      </c>
    </row>
    <row r="64" spans="1:13" x14ac:dyDescent="0.2">
      <c r="G64" t="s">
        <v>20</v>
      </c>
      <c r="H64" s="170">
        <v>3.1078000000000001</v>
      </c>
      <c r="L64" s="129" t="s">
        <v>68</v>
      </c>
      <c r="M64" s="23">
        <v>7.4253999999999998</v>
      </c>
    </row>
    <row r="65" spans="1:13" x14ac:dyDescent="0.2">
      <c r="A65" t="s">
        <v>87</v>
      </c>
      <c r="B65" s="135">
        <v>2026</v>
      </c>
      <c r="C65" s="135">
        <v>2025</v>
      </c>
      <c r="G65" t="s">
        <v>11</v>
      </c>
      <c r="H65" s="170">
        <v>2.4740000000000002</v>
      </c>
      <c r="L65" s="129" t="s">
        <v>66</v>
      </c>
      <c r="M65" s="23">
        <v>6.4760999999999997</v>
      </c>
    </row>
    <row r="66" spans="1:13" x14ac:dyDescent="0.2">
      <c r="A66" s="129" t="s">
        <v>36</v>
      </c>
      <c r="B66" s="130">
        <v>12972004</v>
      </c>
      <c r="G66" s="162" t="s">
        <v>261</v>
      </c>
      <c r="H66" s="169">
        <v>2.4500000000000002</v>
      </c>
      <c r="L66" s="129" t="s">
        <v>83</v>
      </c>
      <c r="M66" s="23">
        <v>5.1994999999999996</v>
      </c>
    </row>
    <row r="67" spans="1:13" x14ac:dyDescent="0.2">
      <c r="A67" s="129" t="s">
        <v>10</v>
      </c>
      <c r="B67" s="130">
        <v>5622306</v>
      </c>
      <c r="G67" s="162" t="s">
        <v>304</v>
      </c>
      <c r="H67" s="169">
        <v>2.1800000000000002</v>
      </c>
      <c r="L67" s="129" t="s">
        <v>62</v>
      </c>
      <c r="M67" s="49">
        <v>5.1079999999999997</v>
      </c>
    </row>
    <row r="68" spans="1:13" x14ac:dyDescent="0.2">
      <c r="A68" s="129" t="s">
        <v>13</v>
      </c>
      <c r="B68" s="130">
        <v>6429215</v>
      </c>
      <c r="G68" s="162" t="s">
        <v>316</v>
      </c>
      <c r="H68" s="170">
        <v>2.0922999999999998</v>
      </c>
      <c r="L68" s="129" t="s">
        <v>85</v>
      </c>
      <c r="M68" s="23">
        <v>4.4028999999999998</v>
      </c>
    </row>
    <row r="69" spans="1:13" x14ac:dyDescent="0.2">
      <c r="A69" s="129" t="s">
        <v>16</v>
      </c>
      <c r="B69" s="130">
        <v>7230344</v>
      </c>
      <c r="G69" s="162" t="s">
        <v>293</v>
      </c>
      <c r="H69" s="170">
        <v>2.0747</v>
      </c>
      <c r="L69" s="129" t="s">
        <v>72</v>
      </c>
      <c r="M69" s="55">
        <v>4.08</v>
      </c>
    </row>
    <row r="70" spans="1:13" x14ac:dyDescent="0.2">
      <c r="A70" s="129" t="s">
        <v>19</v>
      </c>
      <c r="B70" s="130">
        <v>1219165</v>
      </c>
      <c r="G70" s="162" t="s">
        <v>279</v>
      </c>
      <c r="H70" s="170">
        <v>2.0726</v>
      </c>
      <c r="L70" s="129" t="s">
        <v>82</v>
      </c>
      <c r="M70" s="23">
        <v>3.3689</v>
      </c>
    </row>
    <row r="71" spans="1:13" x14ac:dyDescent="0.2">
      <c r="A71" s="129" t="s">
        <v>22</v>
      </c>
      <c r="G71" t="s">
        <v>75</v>
      </c>
      <c r="H71" s="169">
        <v>2.04</v>
      </c>
      <c r="L71" s="129" t="s">
        <v>53</v>
      </c>
      <c r="M71" s="55">
        <v>3.22</v>
      </c>
    </row>
    <row r="72" spans="1:13" x14ac:dyDescent="0.2">
      <c r="A72" s="129" t="s">
        <v>25</v>
      </c>
      <c r="B72" s="130">
        <v>2086949</v>
      </c>
      <c r="G72" s="162" t="s">
        <v>253</v>
      </c>
      <c r="H72" s="170">
        <v>2.0316999999999998</v>
      </c>
      <c r="L72" s="129" t="s">
        <v>81</v>
      </c>
      <c r="M72" s="23">
        <v>2.9203000000000001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D75A08CB9AD4A962DD0416EABCBF4" ma:contentTypeVersion="14" ma:contentTypeDescription="Create a new document." ma:contentTypeScope="" ma:versionID="3be5411bd1e6187a315f76d6146e185d">
  <xsd:schema xmlns:xsd="http://www.w3.org/2001/XMLSchema" xmlns:xs="http://www.w3.org/2001/XMLSchema" xmlns:p="http://schemas.microsoft.com/office/2006/metadata/properties" xmlns:ns2="99e7d0c3-7f9d-4cfe-a525-5051e6935dc7" xmlns:ns3="b6679387-2bb3-41e6-a991-7dbc00c26d23" targetNamespace="http://schemas.microsoft.com/office/2006/metadata/properties" ma:root="true" ma:fieldsID="de809b6fabf87b254a9750e61d8d4351" ns2:_="" ns3:_="">
    <xsd:import namespace="99e7d0c3-7f9d-4cfe-a525-5051e6935dc7"/>
    <xsd:import namespace="b6679387-2bb3-41e6-a991-7dbc00c26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7d0c3-7f9d-4cfe-a525-5051e6935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7c8f3e-8e5c-42b6-ba9d-78fb99a782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Hyperlink" ma:index="21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79387-2bb3-41e6-a991-7dbc00c26d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d08ab0-385d-455b-831a-cf740f3cf936}" ma:internalName="TaxCatchAll" ma:showField="CatchAllData" ma:web="b6679387-2bb3-41e6-a991-7dbc00c26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99e7d0c3-7f9d-4cfe-a525-5051e6935dc7">
      <Url xsi:nil="true"/>
      <Description xsi:nil="true"/>
    </Hyperlink>
    <TaxCatchAll xmlns="b6679387-2bb3-41e6-a991-7dbc00c26d23" xsi:nil="true"/>
    <lcf76f155ced4ddcb4097134ff3c332f xmlns="99e7d0c3-7f9d-4cfe-a525-5051e6935dc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50E699-1845-4A9D-920A-1C395931B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7d0c3-7f9d-4cfe-a525-5051e6935dc7"/>
    <ds:schemaRef ds:uri="b6679387-2bb3-41e6-a991-7dbc00c26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BBFC0C-BE6E-46E5-91C7-4FF6F3BCB3B9}">
  <ds:schemaRefs>
    <ds:schemaRef ds:uri="http://schemas.microsoft.com/office/2006/metadata/properties"/>
    <ds:schemaRef ds:uri="http://schemas.microsoft.com/office/infopath/2007/PartnerControls"/>
    <ds:schemaRef ds:uri="99e7d0c3-7f9d-4cfe-a525-5051e6935dc7"/>
    <ds:schemaRef ds:uri="b6679387-2bb3-41e6-a991-7dbc00c26d23"/>
  </ds:schemaRefs>
</ds:datastoreItem>
</file>

<file path=customXml/itemProps3.xml><?xml version="1.0" encoding="utf-8"?>
<ds:datastoreItem xmlns:ds="http://schemas.openxmlformats.org/officeDocument/2006/customXml" ds:itemID="{875F573A-187C-4440-A698-EDDDB5FB10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 Jan26 try avg v2</vt:lpstr>
      <vt:lpstr>MU Jan26 try avg</vt:lpstr>
      <vt:lpstr>Reas</vt:lpstr>
      <vt:lpstr>RU</vt:lpstr>
      <vt:lpstr>RJ</vt:lpstr>
      <vt:lpstr>Makro Ekonomi</vt:lpstr>
      <vt:lpstr>jiwa nov</vt:lpstr>
      <vt:lpstr>MU Feb26</vt:lpstr>
      <vt:lpstr>MU Jan26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Anadya Ayuningtias</dc:creator>
  <cp:keywords/>
  <dc:description/>
  <cp:lastModifiedBy>Rizma Dwinanda Prawira</cp:lastModifiedBy>
  <cp:revision/>
  <dcterms:created xsi:type="dcterms:W3CDTF">2025-12-17T07:13:39Z</dcterms:created>
  <dcterms:modified xsi:type="dcterms:W3CDTF">2026-03-30T10:09:25Z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0x010100CAAD75A08CB9AD4A962DD0416EABCBF4</vt:lpwstr>
  </property>
  <property fmtid="{D5CDD505-2E9C-101B-9397-08002B2CF9AE}" pid="3" name="MediaServiceImageTags">
    <vt:lpwstr/>
  </property>
</Properties>
</file>