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et" sheetId="1" r:id="rId1"/>
    <sheet name="Ekuitas" sheetId="2" r:id="rId2"/>
    <sheet name="Premi Bruto" sheetId="3" r:id="rId3"/>
    <sheet name="Hasil Underwriting" sheetId="4" r:id="rId4"/>
    <sheet name="Solvabilitas" sheetId="5" r:id="rId5"/>
    <sheet name="Likuiditas" sheetId="6" r:id="rId6"/>
    <sheet name="Sheet1" sheetId="7" r:id="rId7"/>
    <sheet name="Rincian OJK" sheetId="8" r:id="rId8"/>
    <sheet name="Reas" sheetId="9" r:id="rId9"/>
  </sheets>
  <calcPr calcId="124519" fullCalcOnLoad="1"/>
</workbook>
</file>

<file path=xl/sharedStrings.xml><?xml version="1.0" encoding="utf-8"?>
<sst xmlns="http://schemas.openxmlformats.org/spreadsheetml/2006/main" count="4872" uniqueCount="1171">
  <si>
    <t>NAMA_PERUSAHAAN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</si>
  <si>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</si>
  <si>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</si>
  <si>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</si>
  <si>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</si>
  <si>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</si>
  <si>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</si>
  <si>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</si>
  <si>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</si>
  <si>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</si>
  <si>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</si>
  <si>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</si>
  <si>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</si>
  <si>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Asuransi Umum</t>
  </si>
  <si>
    <t>1 PT Asuransi Kerugian Jasa Raharja</t>
  </si>
  <si>
    <t xml:space="preserve">17.504.953 </t>
  </si>
  <si>
    <t>2 PT Asuransi Artarindo</t>
  </si>
  <si>
    <t>3 PT Arthagraha General Insurance</t>
  </si>
  <si>
    <t>4 PT Asuransi Astra Buana</t>
  </si>
  <si>
    <t>5 PT Avrist General Insurance</t>
  </si>
  <si>
    <t>6 PT Asuransi Bangun Askrida*</t>
  </si>
  <si>
    <r>
      <rPr>
        <b/>
        <sz val="11"/>
        <color theme="1"/>
        <rFont val="Calibri"/>
        <family val="2"/>
        <scheme val="minor"/>
      </rPr>
      <t>KENA KASUS</t>
    </r>
  </si>
  <si>
    <t>7 PT Asuransi Bhakti Bhayangkara</t>
  </si>
  <si>
    <t>8 PT Asuransi Binagriya Upakara</t>
  </si>
  <si>
    <t>9 PT Asuransi Bintang Tbk.</t>
  </si>
  <si>
    <t>10 PT Bosowa Asuransi</t>
  </si>
  <si>
    <t>belom ada lapkeu</t>
  </si>
  <si>
    <t>11 PT BRI Asuransi Indonesia</t>
  </si>
  <si>
    <t>12 PT Asuransi Buana Independent</t>
  </si>
  <si>
    <t>13 PT Asuransi Umum Bumiputera Muda 1967</t>
  </si>
  <si>
    <t>14 PT Asuransi Central Asia</t>
  </si>
  <si>
    <t>15 PT Asuransi Umum BCA</t>
  </si>
  <si>
    <t>16 PT Citra International Underwriters</t>
  </si>
  <si>
    <t>17 PT Asuransi Dayin Mitra Tbk.</t>
  </si>
  <si>
    <t>1.513.789,54</t>
  </si>
  <si>
    <t>1.440.946,71</t>
  </si>
  <si>
    <t xml:space="preserve"> 1.377.019,35</t>
  </si>
  <si>
    <t>1.341.693,84</t>
  </si>
  <si>
    <t xml:space="preserve"> 1.206.680,84</t>
  </si>
  <si>
    <t>1.177.263,70</t>
  </si>
  <si>
    <t>18 PT Asuransi Eka Lloyd Jaya</t>
  </si>
  <si>
    <t>website maintenance</t>
  </si>
  <si>
    <t>19 PT Asuransi Total Bersama</t>
  </si>
  <si>
    <t>20 PT Asuransi Intra Asia</t>
  </si>
  <si>
    <t>21 PT MNC Asuransi Indonesia</t>
  </si>
  <si>
    <t>22 PT Asuransi Jasaraharja Putera</t>
  </si>
  <si>
    <t>4.320.341</t>
  </si>
  <si>
    <t xml:space="preserve">4.800.469 </t>
  </si>
  <si>
    <t>4.703.525</t>
  </si>
  <si>
    <t>4.682.176</t>
  </si>
  <si>
    <t>4.492.037</t>
  </si>
  <si>
    <t>23 PT Asuransi Jasa Tania Tbk.</t>
  </si>
  <si>
    <t>24 PT Asuransi Kredit Indonesia</t>
  </si>
  <si>
    <t>25 PT Malacca Trust Wuwungan Insurance Tbk.</t>
  </si>
  <si>
    <r>
      <rPr>
        <b/>
        <sz val="11"/>
        <color theme="1"/>
        <rFont val="Calibri"/>
        <family val="2"/>
        <scheme val="minor"/>
      </rPr>
      <t>LAPORAN KEUANGAN BEDA FORMAT</t>
    </r>
  </si>
  <si>
    <t>26 PT Asuransi Jasa Indonesia</t>
  </si>
  <si>
    <t>14.644.568</t>
  </si>
  <si>
    <t>14.856.120</t>
  </si>
  <si>
    <t>14.601.364</t>
  </si>
  <si>
    <t>15.747.744</t>
  </si>
  <si>
    <t>15.481.338</t>
  </si>
  <si>
    <t>15.081.156</t>
  </si>
  <si>
    <t>14.849.004</t>
  </si>
  <si>
    <t xml:space="preserve"> 14.736.852</t>
  </si>
  <si>
    <t xml:space="preserve"> 14.325.561</t>
  </si>
  <si>
    <t>27 PT Asuransi Umum Mega</t>
  </si>
  <si>
    <t>28 PT Asuransi Umum Seainsure</t>
  </si>
  <si>
    <t>29 PT Asuransi Maximus Graha Persada Tbk.</t>
  </si>
  <si>
    <t>30 PT Pan Pacific Insurance</t>
  </si>
  <si>
    <t>31 PT Asuransi Raksa Pratikara</t>
  </si>
  <si>
    <t>32 PT Asuransi Rama Satria Wibawa</t>
  </si>
  <si>
    <t>33 PT Asuransi Reliance Indonesia</t>
  </si>
  <si>
    <t>34 PT Asuransi Digital Bersama Tbk.</t>
  </si>
  <si>
    <t>35 PT Asuransi Sinar Mas</t>
  </si>
  <si>
    <t>13.880.598</t>
  </si>
  <si>
    <t>15.391.292</t>
  </si>
  <si>
    <t>14.440.078</t>
  </si>
  <si>
    <t>13.560.053</t>
  </si>
  <si>
    <t xml:space="preserve"> 13.272.870</t>
  </si>
  <si>
    <t>12.925.385</t>
  </si>
  <si>
    <t>12.514.887</t>
  </si>
  <si>
    <t>12.363.924</t>
  </si>
  <si>
    <t>36 PT Asuransi Sumit Oto</t>
  </si>
  <si>
    <t>37 PT Asuransi Staco Mandiri</t>
  </si>
  <si>
    <t>38 PT Asuransi Tri Pakarta</t>
  </si>
  <si>
    <t>39 PT Asuransi Perisai Listrik Nasional*</t>
  </si>
  <si>
    <t>2.325.176</t>
  </si>
  <si>
    <t xml:space="preserve">3.328.395 </t>
  </si>
  <si>
    <t>40 PT Asuransi Untuk Semua</t>
  </si>
  <si>
    <t>41 PT Victoria Insurance Tbk.</t>
  </si>
  <si>
    <t>42 PT Asuransi Umum Videi*</t>
  </si>
  <si>
    <t>43 PT Asuransi Wahana Tata</t>
  </si>
  <si>
    <t>4.922.684</t>
  </si>
  <si>
    <t>4.897.245</t>
  </si>
  <si>
    <t>4.811.511</t>
  </si>
  <si>
    <t xml:space="preserve"> 4.971.952</t>
  </si>
  <si>
    <t xml:space="preserve"> 5.334.427</t>
  </si>
  <si>
    <t xml:space="preserve"> 5.628.411</t>
  </si>
  <si>
    <t xml:space="preserve">5.458.938 </t>
  </si>
  <si>
    <t xml:space="preserve"> 5.303.809 </t>
  </si>
  <si>
    <t>44 PT Asuransi Mitra Pelindung Mustika</t>
  </si>
  <si>
    <t>45 PT Asuransi Cakrawala Proteksi Indonesia</t>
  </si>
  <si>
    <t>46 PT Asuransi Simas Insurtech</t>
  </si>
  <si>
    <t xml:space="preserve"> 2.238.230</t>
  </si>
  <si>
    <t>2.380.763</t>
  </si>
  <si>
    <t>2.550.986</t>
  </si>
  <si>
    <t>2.585.506</t>
  </si>
  <si>
    <t>3.178.609</t>
  </si>
  <si>
    <t>47 PT Asuransi Asei Indonesia</t>
  </si>
  <si>
    <t>48 PT Asuransi Sahabat Artha Proteksi</t>
  </si>
  <si>
    <t>49 PT Asuransi Candi Utama</t>
  </si>
  <si>
    <t>50 PT Asuransi Harta Aman Pratama Tbk.</t>
  </si>
  <si>
    <t>51 PT Berdikari Insurance**</t>
  </si>
  <si>
    <r>
      <rPr>
        <b/>
        <sz val="11"/>
        <color theme="1"/>
        <rFont val="Calibri"/>
        <family val="2"/>
        <scheme val="minor"/>
      </rPr>
      <t>DICABUT IJIN USAHA OJK</t>
    </r>
  </si>
  <si>
    <t>52 PT Asuransi Purna Artanugraha**</t>
  </si>
  <si>
    <r>
      <rPr>
        <b/>
        <sz val="11"/>
        <color theme="1"/>
        <rFont val="Calibri"/>
        <family val="2"/>
        <scheme val="minor"/>
      </rPr>
      <t>DALAM LIKUIDASI</t>
    </r>
  </si>
  <si>
    <t>1 PT Zurich Asuransi Indonesia Tbk.</t>
  </si>
  <si>
    <t>2 PT Asuransi Ramayana Tbk.</t>
  </si>
  <si>
    <t>3 PT Asuransi Multi Artha Guna Tbk.</t>
  </si>
  <si>
    <t>4 PT Asuransi Tugu Pratama Indonesia Tbk.</t>
  </si>
  <si>
    <t>5 PT Asuransi Etiqa Internasional Indonesia</t>
  </si>
  <si>
    <t>6 PT Chubb General Insurance Indonesia</t>
  </si>
  <si>
    <t>7 PT Asuransi Allianz Utama Indonesia</t>
  </si>
  <si>
    <t xml:space="preserve">2.049.567 </t>
  </si>
  <si>
    <t>2.026.264</t>
  </si>
  <si>
    <t xml:space="preserve">2.007.513 </t>
  </si>
  <si>
    <t>1.986.899</t>
  </si>
  <si>
    <t xml:space="preserve">1.958.602 </t>
  </si>
  <si>
    <t>1.955.420</t>
  </si>
  <si>
    <t>1.914.829</t>
  </si>
  <si>
    <t>1.911.358</t>
  </si>
  <si>
    <t>1.867.863</t>
  </si>
  <si>
    <t>8 PT AIG Insurance Indonesia</t>
  </si>
  <si>
    <t>1.544.674</t>
  </si>
  <si>
    <t>1.411.557</t>
  </si>
  <si>
    <t xml:space="preserve"> 1.436.709</t>
  </si>
  <si>
    <t>1.437.576</t>
  </si>
  <si>
    <t xml:space="preserve">1.550.351 </t>
  </si>
  <si>
    <t>1.597.552</t>
  </si>
  <si>
    <t>1.580.271</t>
  </si>
  <si>
    <t xml:space="preserve">1.566.127 </t>
  </si>
  <si>
    <t>1.598.531</t>
  </si>
  <si>
    <t>9 PT China Taiping Insurance Indonesia</t>
  </si>
  <si>
    <t>10 PT Meritz Korindo Insurance</t>
  </si>
  <si>
    <t>11 PT Sunday Insurance Indonesia</t>
  </si>
  <si>
    <t>12 PT Kookmin Best Insurance Indonesia</t>
  </si>
  <si>
    <t>13 PT AXA Insurance Indonesia</t>
  </si>
  <si>
    <t>14 PT Asuransi MSIG Indonesia</t>
  </si>
  <si>
    <t>15 PT Sompo Insurance Indonesia</t>
  </si>
  <si>
    <t>16 PT Great Eastern General Insurance Indonesia</t>
  </si>
  <si>
    <t>17 PT Asuransi Samsung Tugu</t>
  </si>
  <si>
    <t>18 PT Asuransi Tokio Marine Indonesia</t>
  </si>
  <si>
    <t>19 PT Asuransi Bina Dana Arta Tbk.</t>
  </si>
  <si>
    <t>20 PT Asuransi FPG Indonesia</t>
  </si>
  <si>
    <t>21 PT Lippo General Insurance Tbk.</t>
  </si>
  <si>
    <t>total</t>
  </si>
  <si>
    <t>Reasuransi</t>
  </si>
  <si>
    <t>1 PT Reasuransi Indonesia Utama (Persero)</t>
  </si>
  <si>
    <t xml:space="preserve"> Rp13.572.403 </t>
  </si>
  <si>
    <t xml:space="preserve"> Rp13.588.443 </t>
  </si>
  <si>
    <t xml:space="preserve"> Rp13.334.571 </t>
  </si>
  <si>
    <t xml:space="preserve"> Rp13.335.924 </t>
  </si>
  <si>
    <t xml:space="preserve"> Rp13.331.144 </t>
  </si>
  <si>
    <t xml:space="preserve"> Rp13.130.253 </t>
  </si>
  <si>
    <t xml:space="preserve"> Rp13.166.048 </t>
  </si>
  <si>
    <t xml:space="preserve"> Rp13.132.306 </t>
  </si>
  <si>
    <t xml:space="preserve"> Rp13.046.016 </t>
  </si>
  <si>
    <t xml:space="preserve"> Rp13.129.470 </t>
  </si>
  <si>
    <t xml:space="preserve"> Rp13.023.476 </t>
  </si>
  <si>
    <t xml:space="preserve"> Rp13.055.980 </t>
  </si>
  <si>
    <t>2 PT Maskapai Reasuransi Indonesia Tbk.</t>
  </si>
  <si>
    <t>Rp5.033.338</t>
  </si>
  <si>
    <t>Rp5.165.855</t>
  </si>
  <si>
    <t>Rp5.219.627</t>
  </si>
  <si>
    <t>Rp5.159.121</t>
  </si>
  <si>
    <t>Rp5.127.248</t>
  </si>
  <si>
    <t>Rp5.202.580</t>
  </si>
  <si>
    <t>Rp5.226.112</t>
  </si>
  <si>
    <t>Rp5.323.682</t>
  </si>
  <si>
    <t>Rp5.445.113</t>
  </si>
  <si>
    <t>Rp5.570.916</t>
  </si>
  <si>
    <t>Rp5.543.036</t>
  </si>
  <si>
    <t>Rp5.600.680</t>
  </si>
  <si>
    <t>3 PT Reasuransi Nasional Indonesia</t>
  </si>
  <si>
    <t>Rp8.259.199</t>
  </si>
  <si>
    <t>Rp8.302.032</t>
  </si>
  <si>
    <t>Rp7.957.213</t>
  </si>
  <si>
    <t>Rp7.686.755</t>
  </si>
  <si>
    <t>Rp7.083.662</t>
  </si>
  <si>
    <t>Rp6.895.729</t>
  </si>
  <si>
    <t>Rp6.832.581</t>
  </si>
  <si>
    <t>Rp6.639.337</t>
  </si>
  <si>
    <t>Rp6.564.254</t>
  </si>
  <si>
    <t>Rp6.583.622</t>
  </si>
  <si>
    <t>Rp6.183.130</t>
  </si>
  <si>
    <t>Rp6.377.926</t>
  </si>
  <si>
    <t>4 PT Tugu Reasuransi Indonesia</t>
  </si>
  <si>
    <t>Rp6.272.720</t>
  </si>
  <si>
    <t>Rp6.233.954</t>
  </si>
  <si>
    <t>Rp6.250.925</t>
  </si>
  <si>
    <t>Rp6.260.887</t>
  </si>
  <si>
    <t>Rp6.653.103</t>
  </si>
  <si>
    <t>Rp6.832.536</t>
  </si>
  <si>
    <t>Rp6.900.032</t>
  </si>
  <si>
    <t>Rp6.973.954</t>
  </si>
  <si>
    <t>Rp6.938.801</t>
  </si>
  <si>
    <t>Rp6.880.409</t>
  </si>
  <si>
    <t>Rp6.854.988</t>
  </si>
  <si>
    <t>Rp6.884.457</t>
  </si>
  <si>
    <t>5 PT Reasuransi Maipark Indonesia</t>
  </si>
  <si>
    <t>Rp1.033.972</t>
  </si>
  <si>
    <t>Rp1.051.638</t>
  </si>
  <si>
    <t>Rp1.051.647</t>
  </si>
  <si>
    <t>Rp1.081.659</t>
  </si>
  <si>
    <t>Rp1.093.712</t>
  </si>
  <si>
    <t>Rp1.129.389</t>
  </si>
  <si>
    <t>Rp1.112.379</t>
  </si>
  <si>
    <t>Rp1.146.075</t>
  </si>
  <si>
    <t>Rp1.164.102</t>
  </si>
  <si>
    <t>Rp1.189.557</t>
  </si>
  <si>
    <t>Rp1.196.933</t>
  </si>
  <si>
    <t>Rp1.187.733</t>
  </si>
  <si>
    <t>6 PT Reasuransi Nusantara Makmur</t>
  </si>
  <si>
    <t>Rp4.372.746</t>
  </si>
  <si>
    <t>Rp4.512.610</t>
  </si>
  <si>
    <t>Rp4.407.860</t>
  </si>
  <si>
    <t>Rp4.712.134</t>
  </si>
  <si>
    <t>Rp4.524.972</t>
  </si>
  <si>
    <t>Rp3.775.010</t>
  </si>
  <si>
    <t>Rp3.831.028</t>
  </si>
  <si>
    <t>Rp4.288.359</t>
  </si>
  <si>
    <t>Rp3.962.296</t>
  </si>
  <si>
    <t>Rp3.982.942</t>
  </si>
  <si>
    <t>Rp4.076.647</t>
  </si>
  <si>
    <t>Rp3.650.654</t>
  </si>
  <si>
    <t>7 PT Indoperkasa Suksesjaya Reasuransi</t>
  </si>
  <si>
    <t>Rp877.531</t>
  </si>
  <si>
    <t>Rp952.194</t>
  </si>
  <si>
    <t>Rp1.006.414</t>
  </si>
  <si>
    <t>Rp1.065.820</t>
  </si>
  <si>
    <t>Rp1.129.086</t>
  </si>
  <si>
    <t>Rp1.964.903</t>
  </si>
  <si>
    <t>Rp1.778.319</t>
  </si>
  <si>
    <t>Rp1.672.848</t>
  </si>
  <si>
    <t>Rp1.603.631</t>
  </si>
  <si>
    <t>Rp1.884.291</t>
  </si>
  <si>
    <t>Rp2.003.971</t>
  </si>
  <si>
    <t>Rp2.030.304</t>
  </si>
  <si>
    <t>8 PT Orion Reasuransi Indonesia</t>
  </si>
  <si>
    <t>Asuransi Jiwa</t>
  </si>
  <si>
    <t>1. PT Asuransi Jiwa IFG</t>
  </si>
  <si>
    <t>2. AJB Bumiputera 1912</t>
  </si>
  <si>
    <t>3. PT Asuransi Jiwa Central Asia Raya</t>
  </si>
  <si>
    <t>4. PT Equity Life Indonesia</t>
  </si>
  <si>
    <t>5. PT Heksa Solution Insurance</t>
  </si>
  <si>
    <t>6. PT Indolife Pensiontama</t>
  </si>
  <si>
    <t>7. PT Asuransi Jiwa Inhealth Indonesia</t>
  </si>
  <si>
    <t>8. PT Avrist Assurance</t>
  </si>
  <si>
    <t>9. PT Asuransi Simas Jiwa</t>
  </si>
  <si>
    <t>10. PT MNC Life Assurance</t>
  </si>
  <si>
    <t>11. PT Asuransi Jiwa Teguh Pelita Pelindung</t>
  </si>
  <si>
    <t>12. PT Asuransi Jiwa Starinvestama</t>
  </si>
  <si>
    <t>13. PT Asuransi Jiwa Sequis Financial</t>
  </si>
  <si>
    <t>14. PT Perta Life Insurance</t>
  </si>
  <si>
    <t>15. PT Asuransi Jiwa Astra</t>
  </si>
  <si>
    <t>16. PT Asuransi Jiwa Reliance Indonesia</t>
  </si>
  <si>
    <t>17. PT Central Asia Financial</t>
  </si>
  <si>
    <t>18. PT Capital Life Indonesia</t>
  </si>
  <si>
    <t>19. PT Asuransi Jiwa Taspen</t>
  </si>
  <si>
    <t>20. PT Asuransi Jiwa BCA</t>
  </si>
  <si>
    <t>21. PT Lippo Life Assurance</t>
  </si>
  <si>
    <t>22. PT Pacific Life Insurance</t>
  </si>
  <si>
    <t>23. PT Bhinneka Life Indonesia</t>
  </si>
  <si>
    <t>24. PT Asuransi Jiwa Nasional</t>
  </si>
  <si>
    <t>25. PT Victoria Alife Indonesia</t>
  </si>
  <si>
    <t>26. PT Asuransi Ciputra Indonesia</t>
  </si>
  <si>
    <t>27. PT Asuransi Jiwa Sealnsure</t>
  </si>
  <si>
    <t>28. PT Chubb Life Insurance</t>
  </si>
  <si>
    <t>29. PT PFI Mega Life Insurance</t>
  </si>
  <si>
    <t>30. PT China Life Insurance Indonesia</t>
  </si>
  <si>
    <t>31. PT Asuransi BRI Life</t>
  </si>
  <si>
    <t>32. PT AIA Financial</t>
  </si>
  <si>
    <t>33. PT Asuransi Allianz Life Indonesia</t>
  </si>
  <si>
    <t>34. PT AXA Financial Indonesia</t>
  </si>
  <si>
    <t>35. PT AXA Mandiri Financial Services</t>
  </si>
  <si>
    <t>36. PT FWD Insurance Indonesia</t>
  </si>
  <si>
    <t>37. PT Asuransi Jiwa Generali Indonesia</t>
  </si>
  <si>
    <t>38. PT Great Eastern Life Indonesia</t>
  </si>
  <si>
    <t>39. PT Tokio Marine Life Insurance Indonesia</t>
  </si>
  <si>
    <t>40. PT Asuransi Jiwa Manulife Indonesia</t>
  </si>
  <si>
    <t>41. PT Prudential Life Assurance</t>
  </si>
  <si>
    <t>42. PT MSIG Life Insurance Indonesia Tbk.</t>
  </si>
  <si>
    <t>43. PT Sun Life Financial Indonesia</t>
  </si>
  <si>
    <t>44. PT Zurich Topas Life</t>
  </si>
  <si>
    <t>45. PT BNI Life Insurance</t>
  </si>
  <si>
    <t>46. PT Asuransi Jiwa Sequis Life</t>
  </si>
  <si>
    <t>47. PT Panin Dai-Chi Life</t>
  </si>
  <si>
    <t>48. PT Hanwha Life Insurance Indonesia</t>
  </si>
  <si>
    <t>Top_10_Aset_Desember</t>
  </si>
  <si>
    <t>Top_10_Aset_Umum_Januari_2026</t>
  </si>
  <si>
    <t>Peringkat</t>
  </si>
  <si>
    <t>Nama Perusahaan</t>
  </si>
  <si>
    <t>Aset Desember (Juta Rp)</t>
  </si>
  <si>
    <t>Aset Januari 2026 (Juta Rp)</t>
  </si>
  <si>
    <t>PT Asuransi Astra Buana</t>
  </si>
  <si>
    <t>22,801,467</t>
  </si>
  <si>
    <t>PT Asuransi Tugu Pratama Indonesia Tbk.</t>
  </si>
  <si>
    <t>20,868,954</t>
  </si>
  <si>
    <t>PT Asuransi Kredit Indonesia</t>
  </si>
  <si>
    <t>18,658,255</t>
  </si>
  <si>
    <t>PT Asuransi Central Asia</t>
  </si>
  <si>
    <t>17,550,022.38</t>
  </si>
  <si>
    <t>PT Asuransi Jasa Indonesia</t>
  </si>
  <si>
    <t>PT Asuransi Kerugian Jasa Raharja</t>
  </si>
  <si>
    <t>16,607,872</t>
  </si>
  <si>
    <t>PT Asuransi Sinar Mas</t>
  </si>
  <si>
    <t>15,442,807</t>
  </si>
  <si>
    <t>PT BRI Asuransi Indonesia</t>
  </si>
  <si>
    <t>15,437,434</t>
  </si>
  <si>
    <t>PT Zurich Asuransi Indonesia Tbk.</t>
  </si>
  <si>
    <t>9,971,947</t>
  </si>
  <si>
    <t>PT Asuransi Multi Artha Guna Tbk.</t>
  </si>
  <si>
    <t>8,622,033</t>
  </si>
  <si>
    <t>PT Asuransi Tokio Marine Indonesia</t>
  </si>
  <si>
    <t>6,061,875</t>
  </si>
  <si>
    <t>Top 10 as jiwa</t>
  </si>
  <si>
    <t>Top_10_Aset_Jiwa_Desember</t>
  </si>
  <si>
    <t>PT Asuransi Jiwa Manulife Indonesia</t>
  </si>
  <si>
    <t>PT Indolife Pensiontama</t>
  </si>
  <si>
    <t>PT Prudential Life Assurance</t>
  </si>
  <si>
    <t>PT AXA Mandiri Financial Services</t>
  </si>
  <si>
    <t>PT AIA Financial</t>
  </si>
  <si>
    <t>PT Asuransi Allianz Life Indonesia</t>
  </si>
  <si>
    <t>PT Asuransi Jiwa IFG</t>
  </si>
  <si>
    <t>PT BNI Life Insurance</t>
  </si>
  <si>
    <t>PT Asuransi Jiwa Sequis Life</t>
  </si>
  <si>
    <t>PT Asuransi Simas Jiwa</t>
  </si>
  <si>
    <t>1.444.706</t>
  </si>
  <si>
    <t>1.434.038</t>
  </si>
  <si>
    <t>1.451.720</t>
  </si>
  <si>
    <t>1.496.347</t>
  </si>
  <si>
    <t xml:space="preserve">1.528.018 </t>
  </si>
  <si>
    <t>1.544.471</t>
  </si>
  <si>
    <t xml:space="preserve"> 1.590.572</t>
  </si>
  <si>
    <t>2.995.597</t>
  </si>
  <si>
    <t>3.052.079</t>
  </si>
  <si>
    <t>3.052.491</t>
  </si>
  <si>
    <t>3.063.641</t>
  </si>
  <si>
    <t>3.043.566</t>
  </si>
  <si>
    <t xml:space="preserve">3.105.211 </t>
  </si>
  <si>
    <t>3.128.565</t>
  </si>
  <si>
    <t>3.148.997</t>
  </si>
  <si>
    <t xml:space="preserve"> 3.176.050</t>
  </si>
  <si>
    <t>3.147.856</t>
  </si>
  <si>
    <t>5.696.285</t>
  </si>
  <si>
    <t>5.887.296</t>
  </si>
  <si>
    <t>5.806.400</t>
  </si>
  <si>
    <t>6.000.727</t>
  </si>
  <si>
    <t>6.058.647</t>
  </si>
  <si>
    <t>6.015.936</t>
  </si>
  <si>
    <t>6.030.928</t>
  </si>
  <si>
    <t>6.300.683</t>
  </si>
  <si>
    <t>1.656.093</t>
  </si>
  <si>
    <t>1.682.925</t>
  </si>
  <si>
    <t>1.719.760</t>
  </si>
  <si>
    <t>1.731.930</t>
  </si>
  <si>
    <t>1.753.257</t>
  </si>
  <si>
    <t xml:space="preserve"> 1.756.107 _x000D_</t>
  </si>
  <si>
    <t>1.059.971</t>
  </si>
  <si>
    <t>1.140.410</t>
  </si>
  <si>
    <t>1.096.304</t>
  </si>
  <si>
    <t>1.570.540</t>
  </si>
  <si>
    <r>
      <rPr>
        <b/>
        <sz val="11"/>
        <color theme="1"/>
        <rFont val="Calibri"/>
        <family val="2"/>
        <scheme val="minor"/>
      </rPr>
      <t>IZIN USAHA DICABUT OJK</t>
    </r>
  </si>
  <si>
    <t>1.606.042</t>
  </si>
  <si>
    <t>1.583.183</t>
  </si>
  <si>
    <t>1.586.505</t>
  </si>
  <si>
    <t>1.615.745</t>
  </si>
  <si>
    <t>1.613.516</t>
  </si>
  <si>
    <t>1.637.222</t>
  </si>
  <si>
    <t>1.670.076</t>
  </si>
  <si>
    <t>1.700.338</t>
  </si>
  <si>
    <t>1.730.723</t>
  </si>
  <si>
    <t>1.736.488</t>
  </si>
  <si>
    <t>Dicabut izin ojk per 2026</t>
  </si>
  <si>
    <t>6.851.183</t>
  </si>
  <si>
    <t>6.879.648</t>
  </si>
  <si>
    <t>11.185.107</t>
  </si>
  <si>
    <t>9.953.075</t>
  </si>
  <si>
    <t>10.173.855</t>
  </si>
  <si>
    <t>9.236.298</t>
  </si>
  <si>
    <t>9.394.351</t>
  </si>
  <si>
    <t>9.377.569</t>
  </si>
  <si>
    <t>10.337.838</t>
  </si>
  <si>
    <t>10.227.281</t>
  </si>
  <si>
    <t>10.086.998</t>
  </si>
  <si>
    <t>Top_10_Ekuitas_November</t>
  </si>
  <si>
    <t>Ekuitas November (Juta Rp)</t>
  </si>
  <si>
    <t>9,074,730.00</t>
  </si>
  <si>
    <t>8,337,047.17</t>
  </si>
  <si>
    <t>6,471,103.00</t>
  </si>
  <si>
    <t>6,193,550.00</t>
  </si>
  <si>
    <t>4,622,870.00</t>
  </si>
  <si>
    <t>3,147,856.00</t>
  </si>
  <si>
    <t>2,891,887.00</t>
  </si>
  <si>
    <t>2,125,980.00</t>
  </si>
  <si>
    <t>2,001,057.00</t>
  </si>
  <si>
    <t>1,769,439.00</t>
  </si>
  <si>
    <t>Top_10_Ekuitas_Desember</t>
  </si>
  <si>
    <t>Top_10_Ekuitas_Umum_Januari_2026</t>
  </si>
  <si>
    <t>Ekuitas Desember (Juta Rp)</t>
  </si>
  <si>
    <t>Ekuitas Januari 2026 (Juta Rp)</t>
  </si>
  <si>
    <t>12,684,265</t>
  </si>
  <si>
    <t>9,313,346</t>
  </si>
  <si>
    <t>8,517,372.34</t>
  </si>
  <si>
    <t>6,897,480</t>
  </si>
  <si>
    <t>6,218,334</t>
  </si>
  <si>
    <t>4,385,035</t>
  </si>
  <si>
    <t>4,320,942</t>
  </si>
  <si>
    <t>3,283,408</t>
  </si>
  <si>
    <t>3,021,491</t>
  </si>
  <si>
    <t>2,161,850</t>
  </si>
  <si>
    <t>Top_10_Ekuitas_Jiwa_Desember</t>
  </si>
  <si>
    <t>top 10 as jiwa</t>
  </si>
  <si>
    <t>PT MSIG Life Insurance Indonesia Tbk.</t>
  </si>
  <si>
    <t>PT Sun Life Financial Indonesia</t>
  </si>
  <si>
    <t>i</t>
  </si>
  <si>
    <t>1.170.727,87</t>
  </si>
  <si>
    <t>1.208.386,94</t>
  </si>
  <si>
    <t xml:space="preserve"> 1.238.071,59</t>
  </si>
  <si>
    <t>1.318.045,43</t>
  </si>
  <si>
    <t>1.071.140</t>
  </si>
  <si>
    <t>1.290.448</t>
  </si>
  <si>
    <t>2.361.524</t>
  </si>
  <si>
    <t>2.562.673</t>
  </si>
  <si>
    <t>2.716.032</t>
  </si>
  <si>
    <t>2.897.624</t>
  </si>
  <si>
    <t>3.164.815</t>
  </si>
  <si>
    <t>3.323.979</t>
  </si>
  <si>
    <t>1.516.923</t>
  </si>
  <si>
    <t>2.509.013</t>
  </si>
  <si>
    <t>2.720.505</t>
  </si>
  <si>
    <t>5.100.943</t>
  </si>
  <si>
    <t>5.281.118</t>
  </si>
  <si>
    <t>5.450.191</t>
  </si>
  <si>
    <t xml:space="preserve">5.783.941 </t>
  </si>
  <si>
    <t>6.423.555</t>
  </si>
  <si>
    <t>6.606.589</t>
  </si>
  <si>
    <t>7.457.317</t>
  </si>
  <si>
    <t>1.387.554</t>
  </si>
  <si>
    <t>1.658.591</t>
  </si>
  <si>
    <t>1.965.941</t>
  </si>
  <si>
    <t>2.183.172</t>
  </si>
  <si>
    <t>2.357.252</t>
  </si>
  <si>
    <t xml:space="preserve"> 1.021.884 </t>
  </si>
  <si>
    <t>2.224.128</t>
  </si>
  <si>
    <t xml:space="preserve"> 2.830.782</t>
  </si>
  <si>
    <t>3.503.832</t>
  </si>
  <si>
    <t xml:space="preserve"> 4.198.690</t>
  </si>
  <si>
    <t xml:space="preserve">5.186.961 </t>
  </si>
  <si>
    <t>Total</t>
  </si>
  <si>
    <t>Reasuransi (Premi Tidak Langsung)</t>
  </si>
  <si>
    <t>Pendapatan Premi</t>
  </si>
  <si>
    <t>-</t>
  </si>
  <si>
    <t>TOTAL</t>
  </si>
  <si>
    <t>160,2 triliun</t>
  </si>
  <si>
    <t>Top_10_PB_Desember</t>
  </si>
  <si>
    <t>Top_10_PB_Umum_Januari_2026</t>
  </si>
  <si>
    <t>Premi Bruto Desember (Juta Rp)</t>
  </si>
  <si>
    <t>Premi Bruto Januari 2026 (Juta Rp)</t>
  </si>
  <si>
    <t>2,750,817</t>
  </si>
  <si>
    <t>PT Asuransi Simas Insurtech</t>
  </si>
  <si>
    <t>1,710,575</t>
  </si>
  <si>
    <t>PT Lippo General Insurance Tbk.</t>
  </si>
  <si>
    <t>772,602</t>
  </si>
  <si>
    <t>595,936</t>
  </si>
  <si>
    <t>442,125.43</t>
  </si>
  <si>
    <t>PT MNC Asuransi Indonesia</t>
  </si>
  <si>
    <t>415,959</t>
  </si>
  <si>
    <t>398,078</t>
  </si>
  <si>
    <t>375,075</t>
  </si>
  <si>
    <t>360,608</t>
  </si>
  <si>
    <t>353,825</t>
  </si>
  <si>
    <t>Top_10_PB_Jiwa_Desember</t>
  </si>
  <si>
    <t>PT Asuransi Jiwa Inhealth Indonesia</t>
  </si>
  <si>
    <t>1.505.783</t>
  </si>
  <si>
    <t>Total_Laba_Rugi_Komprehensif</t>
  </si>
  <si>
    <t>Top_10_HU_Desember</t>
  </si>
  <si>
    <t>Top_10_HU_Umum_Januari_2026</t>
  </si>
  <si>
    <t>Hasil Underwriting Desember (Juta Rp)</t>
  </si>
  <si>
    <t>Hasil Underwriting Januari 2026 (Juta Rp)</t>
  </si>
  <si>
    <t>176,062</t>
  </si>
  <si>
    <t>165,888</t>
  </si>
  <si>
    <t>130,552</t>
  </si>
  <si>
    <t>113,001</t>
  </si>
  <si>
    <t>81,627</t>
  </si>
  <si>
    <t>77,736</t>
  </si>
  <si>
    <t>72,817</t>
  </si>
  <si>
    <t>PT Asuransi Umum Seainsure</t>
  </si>
  <si>
    <t>67,841.48</t>
  </si>
  <si>
    <t>PT Sompo Insurance Indonesia</t>
  </si>
  <si>
    <t>67,735</t>
  </si>
  <si>
    <t>PT Asuransi MSIG Indonesia</t>
  </si>
  <si>
    <t>59,173</t>
  </si>
  <si>
    <t>Top_10_HU_Jiwa_Desember</t>
  </si>
  <si>
    <t>top 10 as jiwa laba</t>
  </si>
  <si>
    <t>PT Pacific Life Insurance</t>
  </si>
  <si>
    <t>PT Panin Dai-Chi Life</t>
  </si>
  <si>
    <t xml:space="preserve">268% </t>
  </si>
  <si>
    <t xml:space="preserve">346.70% </t>
  </si>
  <si>
    <t xml:space="preserve">332.71% </t>
  </si>
  <si>
    <t xml:space="preserve">365.01% </t>
  </si>
  <si>
    <t xml:space="preserve">776% </t>
  </si>
  <si>
    <t xml:space="preserve">461.21% </t>
  </si>
  <si>
    <t xml:space="preserve">292% </t>
  </si>
  <si>
    <t xml:space="preserve">291% </t>
  </si>
  <si>
    <t xml:space="preserve">278% </t>
  </si>
  <si>
    <t xml:space="preserve">407% </t>
  </si>
  <si>
    <t xml:space="preserve">400.93% </t>
  </si>
  <si>
    <t xml:space="preserve">214% </t>
  </si>
  <si>
    <t xml:space="preserve">185% </t>
  </si>
  <si>
    <t xml:space="preserve">122% </t>
  </si>
  <si>
    <t xml:space="preserve">158.42% </t>
  </si>
  <si>
    <t xml:space="preserve">148.97% </t>
  </si>
  <si>
    <t xml:space="preserve">203.37% </t>
  </si>
  <si>
    <t xml:space="preserve">210.50% </t>
  </si>
  <si>
    <t xml:space="preserve">183.86% </t>
  </si>
  <si>
    <t xml:space="preserve">444.68% </t>
  </si>
  <si>
    <t xml:space="preserve">446.81% </t>
  </si>
  <si>
    <t xml:space="preserve">329% </t>
  </si>
  <si>
    <t xml:space="preserve">125.91% </t>
  </si>
  <si>
    <t xml:space="preserve">125.12% </t>
  </si>
  <si>
    <t xml:space="preserve">150.39% </t>
  </si>
  <si>
    <t xml:space="preserve">138.56% </t>
  </si>
  <si>
    <t xml:space="preserve">262% </t>
  </si>
  <si>
    <t xml:space="preserve">239.74% </t>
  </si>
  <si>
    <t xml:space="preserve">199% </t>
  </si>
  <si>
    <t xml:space="preserve">171% </t>
  </si>
  <si>
    <t>Rata-rata</t>
  </si>
  <si>
    <t>Rata-Rata</t>
  </si>
  <si>
    <t xml:space="preserve">271% </t>
  </si>
  <si>
    <t>Top_10_Solvabilitas_Desember</t>
  </si>
  <si>
    <t>Top_10_Solvabilitas_Umum_Januari_2026</t>
  </si>
  <si>
    <t>Solvabilitas Desember (%)</t>
  </si>
  <si>
    <t>Solvabilitas Januari 2026 (%)</t>
  </si>
  <si>
    <t>PT Victoria Insurance Tbk.</t>
  </si>
  <si>
    <t>1,963.00%</t>
  </si>
  <si>
    <t>PT Asuransi Digital Bersama Tbk.</t>
  </si>
  <si>
    <t>816.16%</t>
  </si>
  <si>
    <t>PT Asuransi Staco Mandiri</t>
  </si>
  <si>
    <t>PT Asuransi Sumit Oto</t>
  </si>
  <si>
    <t>803.00%</t>
  </si>
  <si>
    <t>PT Asuransi Bina Dana Arta Tbk.</t>
  </si>
  <si>
    <t>773.00%</t>
  </si>
  <si>
    <t>722.18%</t>
  </si>
  <si>
    <t>PT Asuransi Allianz Utama Indonesia</t>
  </si>
  <si>
    <t>667.62%</t>
  </si>
  <si>
    <t>PT AIG Insurance Indonesia</t>
  </si>
  <si>
    <t>654.00%</t>
  </si>
  <si>
    <t>PT Chubb General Insurance Indonesia</t>
  </si>
  <si>
    <t>632.00%</t>
  </si>
  <si>
    <t>PT Asuransi Jasa Tania Tbk.</t>
  </si>
  <si>
    <t>PT Meritz Korindo Insurance</t>
  </si>
  <si>
    <t>618.85%</t>
  </si>
  <si>
    <t>595.40%</t>
  </si>
  <si>
    <t>top 10 as jiwa rbc</t>
  </si>
  <si>
    <t>Top_10_Solvabilitas_Jiwa_Desember</t>
  </si>
  <si>
    <t>PT PFI Mega Life Insurance</t>
  </si>
  <si>
    <t>PT Asuransi Jiwa Sealnsure</t>
  </si>
  <si>
    <t>PT Asuransi Jiwa Teguh Pelita Pelindung</t>
  </si>
  <si>
    <t>PT Hanwha Life Insurance Indonesia</t>
  </si>
  <si>
    <t>PT Victoria Alife Indonesia</t>
  </si>
  <si>
    <t>PT Asuransi Jiwa Starinvestama</t>
  </si>
  <si>
    <t>PT Avrist Assurance</t>
  </si>
  <si>
    <t xml:space="preserve">173.21% </t>
  </si>
  <si>
    <t xml:space="preserve">171.78% </t>
  </si>
  <si>
    <t xml:space="preserve">158.20% </t>
  </si>
  <si>
    <t xml:space="preserve">273% </t>
  </si>
  <si>
    <t xml:space="preserve">316% </t>
  </si>
  <si>
    <t xml:space="preserve">162.53% </t>
  </si>
  <si>
    <t xml:space="preserve"> 106.17% </t>
  </si>
  <si>
    <t xml:space="preserve">152% </t>
  </si>
  <si>
    <t xml:space="preserve">149.73% </t>
  </si>
  <si>
    <t xml:space="preserve">193.91% </t>
  </si>
  <si>
    <t xml:space="preserve">142.27% </t>
  </si>
  <si>
    <t xml:space="preserve">170.72% </t>
  </si>
  <si>
    <t xml:space="preserve">157.24% </t>
  </si>
  <si>
    <t xml:space="preserve">204% </t>
  </si>
  <si>
    <t xml:space="preserve">127.95% </t>
  </si>
  <si>
    <t xml:space="preserve">126.01% </t>
  </si>
  <si>
    <t xml:space="preserve">114% </t>
  </si>
  <si>
    <t xml:space="preserve"> 113%_x000D_</t>
  </si>
  <si>
    <t>Top_10_Likuiditas_Desember</t>
  </si>
  <si>
    <t>Top_10_Likuiditas_Umum_Januari_2026</t>
  </si>
  <si>
    <t>Likuiditas Desember (%)</t>
  </si>
  <si>
    <t>Likuiditas Januari 2026 (%)</t>
  </si>
  <si>
    <t>347.00%</t>
  </si>
  <si>
    <t>309.56%</t>
  </si>
  <si>
    <t>230.08%</t>
  </si>
  <si>
    <t>229.05%</t>
  </si>
  <si>
    <t>PT Citra International Underwriters</t>
  </si>
  <si>
    <t>PT Asuransi Sahabat Artha Proteksi</t>
  </si>
  <si>
    <t>217.98%</t>
  </si>
  <si>
    <t>214.34%</t>
  </si>
  <si>
    <t>211.00%</t>
  </si>
  <si>
    <t>210.00%</t>
  </si>
  <si>
    <t>208.00%</t>
  </si>
  <si>
    <t>205.80%</t>
  </si>
  <si>
    <t>Top_10_Likuiditas_Jiwa_Desember</t>
  </si>
  <si>
    <t>10 terbesar as jiwa</t>
  </si>
  <si>
    <t>PT Asuransi Jiwa Nasional</t>
  </si>
  <si>
    <t>PT Central Asia Financial</t>
  </si>
  <si>
    <t>PT Perta Life Insurance</t>
  </si>
  <si>
    <t>PT Lippo Life Assurance</t>
  </si>
  <si>
    <t>PT MNC Life Assurance</t>
  </si>
  <si>
    <t>Usaha Asuransi Umum &amp; Reasuransi</t>
  </si>
  <si>
    <t>_x000D_</t>
  </si>
  <si>
    <t>Python1</t>
  </si>
  <si>
    <t>Non Life Insurance &amp; Reinsurance Business</t>
  </si>
  <si>
    <t>NO</t>
  </si>
  <si>
    <t>NAME OF COMPANY</t>
  </si>
  <si>
    <t>DIRECT BUSINESS</t>
  </si>
  <si>
    <t>COMMISSION</t>
  </si>
  <si>
    <t>DOMESTIC</t>
  </si>
  <si>
    <t>ASEAN</t>
  </si>
  <si>
    <t>OTHER</t>
  </si>
  <si>
    <t>COMMISSION1</t>
  </si>
  <si>
    <t>DOMESTIC1</t>
  </si>
  <si>
    <t>ASEAN1</t>
  </si>
  <si>
    <t>OTHER1</t>
  </si>
  <si>
    <t>COMMISSION2</t>
  </si>
  <si>
    <t>NET PREMIUM</t>
  </si>
  <si>
    <t>PREVIOUS YEAR</t>
  </si>
  <si>
    <t>CURRENT YEAR</t>
  </si>
  <si>
    <t>INCOME PREMIUM</t>
  </si>
  <si>
    <t xml:space="preserve">PT Asuransi Kerugian Jasa Raharja </t>
  </si>
  <si>
    <t xml:space="preserve"> - </t>
  </si>
  <si>
    <t>TABEL: 2.11/TABLE: 2.11</t>
  </si>
  <si>
    <t>PT Asuransi Artarindo</t>
  </si>
  <si>
    <t>PREMI USAHA ASURANSI UMUM DAN REASURANSI TAHUN 2024</t>
  </si>
  <si>
    <t>PT Arthagraha General Insurance</t>
  </si>
  <si>
    <t>PREMIUMS OF NON LIFE INSURANCE AND REINSURANCE BUSINESS IN 2024</t>
  </si>
  <si>
    <t>Lini Usaha : Seluruh Cabang</t>
  </si>
  <si>
    <t>Dalam Jutaan Rupiah</t>
  </si>
  <si>
    <t>PT Avrist General Insurance</t>
  </si>
  <si>
    <t>Line of Business : All Branch</t>
  </si>
  <si>
    <t>In Million Rupiah</t>
  </si>
  <si>
    <t>PT Asuransi Bangun Askrida</t>
  </si>
  <si>
    <t>REASURANSI DAN KOMISI / REINSURANCE AND COMMISSION</t>
  </si>
  <si>
    <t>CADANGAN PREMI</t>
  </si>
  <si>
    <t>PT Asuransi Bhakti Bhayangkara</t>
  </si>
  <si>
    <t>INWARD</t>
  </si>
  <si>
    <t>OUTWARD</t>
  </si>
  <si>
    <t>PREMIUM RESERVE</t>
  </si>
  <si>
    <t>PT Asuransi Binagriya Upakara</t>
  </si>
  <si>
    <t>NAMA PERUSAHAAN</t>
  </si>
  <si>
    <t>POS LANGSUNG</t>
  </si>
  <si>
    <t>KOMISI</t>
  </si>
  <si>
    <t>DALAM NEGERI</t>
  </si>
  <si>
    <t>LAINNYA</t>
  </si>
  <si>
    <t>PREMI NETO</t>
  </si>
  <si>
    <t>TAHUN LALU</t>
  </si>
  <si>
    <t>TAHUN BERJALAN</t>
  </si>
  <si>
    <t>PENDAPATAN PREMI</t>
  </si>
  <si>
    <t>PT Asuransi Bintang Tbk.</t>
  </si>
  <si>
    <t>PT Bosowa Asuransi</t>
  </si>
  <si>
    <t>PT Asuransi Buana Independent</t>
  </si>
  <si>
    <t>PERUSAHAAN ASURANSI UMUM NASIONAL</t>
  </si>
  <si>
    <t>PT Asuransi Umum Bumiputera Muda 1967</t>
  </si>
  <si>
    <t>NATIONAL NON LIFE INSURANCE COMPANIES</t>
  </si>
  <si>
    <t>PT Asuransi Umum BCA</t>
  </si>
  <si>
    <t>PT Asuransi Dayin Mitra Tbk.</t>
  </si>
  <si>
    <t>PT Asuransi Eka Lloyd Jaya</t>
  </si>
  <si>
    <t>PT Asuransi Total Bersama</t>
  </si>
  <si>
    <t>PT Asuransi Intra Asia</t>
  </si>
  <si>
    <t>PT Asuransi Jasa Raharja Putera</t>
  </si>
  <si>
    <t>PT Malacca Trust Wuwungan Insurance Tbk.</t>
  </si>
  <si>
    <t>PT Asuransi Umum Mega</t>
  </si>
  <si>
    <t>PT Asuransi Maximus Graha Persada Tbk.</t>
  </si>
  <si>
    <t>PT Pan Pacific Insurance</t>
  </si>
  <si>
    <t>PT Asuransi Raksa Pratikara</t>
  </si>
  <si>
    <t>PT Asuransi Rama Satria Wibawa</t>
  </si>
  <si>
    <t>PT Asuransi Reliance Indonesia</t>
  </si>
  <si>
    <t>PT Asuransi Digital Bersama</t>
  </si>
  <si>
    <t>PT Asuransi Tri Pakarta</t>
  </si>
  <si>
    <t>PT Asuransi Perisai Listrik Nasional</t>
  </si>
  <si>
    <t>PT Asuransi Untuk Semua</t>
  </si>
  <si>
    <t>PT Asuransi Umum Videi</t>
  </si>
  <si>
    <t>PT Asuransi Wahana Tata</t>
  </si>
  <si>
    <t>PT Asuransi Mitra Pelindung Mustika</t>
  </si>
  <si>
    <t>PT Asuransi Cakrawala Proteksi Indonesia</t>
  </si>
  <si>
    <t>PT Asuransi ASEI Indonesia</t>
  </si>
  <si>
    <t>PT Asuransi Candi Utama</t>
  </si>
  <si>
    <t>PT Asuransi Harta Aman Pratama Tbk.</t>
  </si>
  <si>
    <t>PT Asuransi Ramayana Tbk.</t>
  </si>
  <si>
    <t>PT Tugu Pratama Indonesia</t>
  </si>
  <si>
    <t xml:space="preserve">PT Asuransi Etiqa Internasional Indonesia </t>
  </si>
  <si>
    <t xml:space="preserve">PT Chubb General Insurance Indonesia </t>
  </si>
  <si>
    <t>PT China Taiping Insurance Indonesia</t>
  </si>
  <si>
    <t>PT Sunday Insurance Indonesia</t>
  </si>
  <si>
    <t>PT Kookmin Best Insurance Indonesia</t>
  </si>
  <si>
    <t>PT AXA Insurance Indonesia</t>
  </si>
  <si>
    <t>JUMLAH / SUB TOTAL</t>
  </si>
  <si>
    <t>PT Great Eastern General Insurance Indonesia</t>
  </si>
  <si>
    <t>PT Asuransi Samsung Tugu</t>
  </si>
  <si>
    <t>PERUSAHAAN ASURANSI UMUM PATUNGAN</t>
  </si>
  <si>
    <t>JOINT VENTURE NON LIFE INSURANCE COMPANIES</t>
  </si>
  <si>
    <t>PT Asuransi FPG Indonesia</t>
  </si>
  <si>
    <t>PT Reasuransi Indonesia Utama (Persero)</t>
  </si>
  <si>
    <t>PT Maskapai Reasuransi Indonesia</t>
  </si>
  <si>
    <t>PT Reasuransi Nasional Indonesia</t>
  </si>
  <si>
    <t>PT Tugu Reasuransi Indonesia</t>
  </si>
  <si>
    <t>PT Reasuransi Maipark Indonesia</t>
  </si>
  <si>
    <t>PT Reasuransi Nusantara Makmur</t>
  </si>
  <si>
    <t xml:space="preserve">PT Indoperkasa Suksesjaya Reasuransi </t>
  </si>
  <si>
    <t>PT Orion Reasuransi Indonesia</t>
  </si>
  <si>
    <t>PERUSAHAAN REASURANSI</t>
  </si>
  <si>
    <t>REINSURANCE COMPANIES</t>
  </si>
  <si>
    <t>JUMLAH SELURUHNYA / GRAND TOTAL</t>
  </si>
  <si>
    <t>*) Bukan Laporan Audit/ Unaudited</t>
  </si>
  <si>
    <t>Total_Summary</t>
  </si>
  <si>
    <t>Rumus_Segmentasi</t>
  </si>
  <si>
    <t>Column</t>
  </si>
  <si>
    <t>GP</t>
  </si>
  <si>
    <t>L/R</t>
  </si>
  <si>
    <t>HUK</t>
  </si>
  <si>
    <t>NET BALANCE</t>
  </si>
  <si>
    <t>HUB</t>
  </si>
  <si>
    <t>JIWA</t>
  </si>
  <si>
    <t>Premi Reasuransi</t>
  </si>
  <si>
    <t>[Settled(Klaim Retensi Sendiri) + OS(Cadangan Klaim Penyesuaian) + IBNR Penyesuaian] / GP</t>
  </si>
  <si>
    <t>Premi Retensi Sendiri - Komisi Retensi Sendiri - Klaim Retensi Sendiri</t>
  </si>
  <si>
    <t>[Premi Retensi Sendiri - Komisi Retensi Sendiri - Klaim Retensi Sendiri] - [Cad Premi Penyesuaian + Cad Klaim Penyesuaian + IBNR Penyesuaian]</t>
  </si>
  <si>
    <t>UMUM</t>
  </si>
  <si>
    <t>([Klaim Retensi] + [Cad. Klaim Penyesuaian])/([Premi Retensi] - [Komisi Retensi])</t>
  </si>
  <si>
    <t>[Premi Retensi] - [Komisi Retensi] - [Klaim Retensi]</t>
  </si>
  <si>
    <t>[Premi Retensi] - [Komisi Retensi] - [Klaim Retensi] - [Cad. Klaim Penyesuaian]</t>
  </si>
  <si>
    <t>Uraian_Asuransi</t>
  </si>
  <si>
    <t>No</t>
  </si>
  <si>
    <t>Uraian Asuransi</t>
  </si>
  <si>
    <t>Uraian OJK</t>
  </si>
  <si>
    <t>Uraian RIU</t>
  </si>
  <si>
    <t>I</t>
  </si>
  <si>
    <t>PENDAPATAN UNDERWRITING</t>
  </si>
  <si>
    <t>Premi Bruto</t>
  </si>
  <si>
    <t>a. Premi Penutupan Langsung</t>
  </si>
  <si>
    <t>PR Pos Langsung</t>
  </si>
  <si>
    <t>Premi (Pendapatan)</t>
  </si>
  <si>
    <t>b. Premi Penutupan Tidak Langsung</t>
  </si>
  <si>
    <t>PR Inward</t>
  </si>
  <si>
    <t>Jumlah Pendapatan Premi</t>
  </si>
  <si>
    <t>c. Komisi Dibayar</t>
  </si>
  <si>
    <t>PR Komisi (Inward + Outward)</t>
  </si>
  <si>
    <t>Komisi (Pengeluaran)</t>
  </si>
  <si>
    <t>Jumlah Premi Bruto</t>
  </si>
  <si>
    <t>a. Premi Reasuransi Dibayar</t>
  </si>
  <si>
    <t>PR Outward</t>
  </si>
  <si>
    <t>b. Komisi Reasuransi Diterima</t>
  </si>
  <si>
    <t>Jumlah Premi Reasuransi</t>
  </si>
  <si>
    <t>Jumlah Premi Netto</t>
  </si>
  <si>
    <t>PR Premi Netto</t>
  </si>
  <si>
    <t>Penurunan (Kenaikan) Cadangan Premi, CAPYBMP, dan Cadangan Catastrophic</t>
  </si>
  <si>
    <t>a. Penurunan (Kenaikan) Cadangan Premi</t>
  </si>
  <si>
    <t>b. Penurunan (Kenaikan) CAPYBMP</t>
  </si>
  <si>
    <t>c. Penurunan (kenaikan) Cadangan atas Risiko Bencana (Catastrophic)</t>
  </si>
  <si>
    <t>Jumlah Penurunan (Kenaikan) Cadangan</t>
  </si>
  <si>
    <t>PR Cadangan Premi (Berjalan - Lalu)</t>
  </si>
  <si>
    <t>[Cad Premi]</t>
  </si>
  <si>
    <t>Jumlah Pendapatan Premi Neto</t>
  </si>
  <si>
    <t>Pendapatan Underwriting Lain Neto</t>
  </si>
  <si>
    <t>Jumlah Pendapatan Underwriting</t>
  </si>
  <si>
    <t>PR Pendapatan Premi</t>
  </si>
  <si>
    <t>II</t>
  </si>
  <si>
    <t>BEBAN UNDERWRITING</t>
  </si>
  <si>
    <t>Beban Klaim</t>
  </si>
  <si>
    <t>a. Klaim Bruto</t>
  </si>
  <si>
    <t>KL Pos + Inward 0.9</t>
  </si>
  <si>
    <t>b. Klaim Reasuransi</t>
  </si>
  <si>
    <t>KL Outward</t>
  </si>
  <si>
    <t>c. Kenaikan (Penurunan) Cadangan Klaim</t>
  </si>
  <si>
    <t>KL Cadangan Klaim (Berjalan - Lalu)</t>
  </si>
  <si>
    <t>Cad Klaim [IBNR]</t>
  </si>
  <si>
    <t>Jumlah Beban Klaim Neto</t>
  </si>
  <si>
    <t>Beban Underwriting Lain Neto</t>
  </si>
  <si>
    <t>KL Pos + Inward 0.1</t>
  </si>
  <si>
    <t>Jumlah Beban Underwriting</t>
  </si>
  <si>
    <t>KL Beban Klaim</t>
  </si>
  <si>
    <t>Klaim (Pengeluaran)</t>
  </si>
  <si>
    <t>HASIL UNDERWRITING</t>
  </si>
  <si>
    <t>LR Hasil Underwriting</t>
  </si>
  <si>
    <t>HUB (Profit)</t>
  </si>
  <si>
    <t>Hasil Investasi</t>
  </si>
  <si>
    <t>Beban Usaha</t>
  </si>
  <si>
    <t>a. Beban Pemasaran</t>
  </si>
  <si>
    <t>Biaya Marketing (Service)</t>
  </si>
  <si>
    <t>b. Beban Umum dan Administrasi:</t>
  </si>
  <si>
    <t>- Beban Pegawai dan Pengurus</t>
  </si>
  <si>
    <t>- Beban Pendidikan dan Pelatihan</t>
  </si>
  <si>
    <t>- Beban Umum dan Administrasi lainnya</t>
  </si>
  <si>
    <t>c. Biaya Terkait Estimasi Kecelakaan Diri</t>
  </si>
  <si>
    <t>JUMLAH BEBAN USAHA</t>
  </si>
  <si>
    <t>Biaya Operasional</t>
  </si>
  <si>
    <t>LABA (RUGI) USAHA ASURANSI</t>
  </si>
  <si>
    <t>Hasil (Beban) Lain</t>
  </si>
  <si>
    <t>Hasil Lainnya</t>
  </si>
  <si>
    <t>Laba (Rugi) Sebelum Pajak</t>
  </si>
  <si>
    <t>Pajak Penghasilan</t>
  </si>
  <si>
    <t>Pajak</t>
  </si>
  <si>
    <t>Laba (Rugi) Setelah Pajak</t>
  </si>
  <si>
    <t>Pendapatan Komprehensif Lain</t>
  </si>
  <si>
    <t>Pendapatan Komprehensif Lainnya</t>
  </si>
  <si>
    <t>Total Laba (Rugi) Komprehensif</t>
  </si>
  <si>
    <t>Rugi Laba</t>
  </si>
  <si>
    <t>Aset</t>
  </si>
  <si>
    <t>dalam jutaan rupiah</t>
  </si>
  <si>
    <t>INDONESIA RE</t>
  </si>
  <si>
    <t>MAIPARK</t>
  </si>
  <si>
    <t>NASRE</t>
  </si>
  <si>
    <t>MAREIN</t>
  </si>
  <si>
    <t>TUGURE</t>
  </si>
  <si>
    <t>NUSRE</t>
  </si>
  <si>
    <t>INARE</t>
  </si>
  <si>
    <t xml:space="preserve"> 1.029.294 _x000D_</t>
  </si>
  <si>
    <t xml:space="preserve"> 1.321.964 _x000D_</t>
  </si>
  <si>
    <t xml:space="preserve"> 1.435.561 _x000D_</t>
  </si>
  <si>
    <t xml:space="preserve"> 1.631.653 _x000D_</t>
  </si>
  <si>
    <t xml:space="preserve"> 1.991.748 _x000D_</t>
  </si>
  <si>
    <t xml:space="preserve"> 2.304.099 _x000D_</t>
  </si>
  <si>
    <t xml:space="preserve"> 2.317.521 _x000D_</t>
  </si>
  <si>
    <t xml:space="preserve"> 2.683.772 _x000D_</t>
  </si>
  <si>
    <t>ASET_Marein_Desember_2026</t>
  </si>
  <si>
    <t>URAIAN</t>
  </si>
  <si>
    <t>31 DESEMBER 2025/</t>
  </si>
  <si>
    <t>31 DESEMBER 2024/</t>
  </si>
  <si>
    <t>I. INVESTASI</t>
  </si>
  <si>
    <t>1 Deposito Berjangka</t>
  </si>
  <si>
    <t>LIABILITAS_DAN_EKUITAS_Marein_Desember_2026</t>
  </si>
  <si>
    <t>2 Sertifikat Deposito</t>
  </si>
  <si>
    <t>3 Saham</t>
  </si>
  <si>
    <t>I. UTANG</t>
  </si>
  <si>
    <t>4 Obligasi Korporasi</t>
  </si>
  <si>
    <t>1 Utang Klaim</t>
  </si>
  <si>
    <t>5 MTN</t>
  </si>
  <si>
    <t>2 Utang Koasuransi</t>
  </si>
  <si>
    <t>6 Surat Berharga yang Diterbitkan oleh Negara Ri</t>
  </si>
  <si>
    <t>3 Utang Reasuransi</t>
  </si>
  <si>
    <t>7 Surat Berharga yang Diterbitkan oleh Negara Selain Negara RI</t>
  </si>
  <si>
    <t>4 Utang Komisi</t>
  </si>
  <si>
    <t>8 Surat Berharga Diterbitkan oleh Bank Indonesia</t>
  </si>
  <si>
    <t>5 Utang Pajak</t>
  </si>
  <si>
    <t>9 Surat Berharga yang Diterbitkan oleh Lembaga Multinasional</t>
  </si>
  <si>
    <t>6 Biaya yang Masih Harus Dibayar</t>
  </si>
  <si>
    <t>10 Reksadana</t>
  </si>
  <si>
    <t>7 Utang Lain</t>
  </si>
  <si>
    <t>11 Efek Beragun Aset</t>
  </si>
  <si>
    <t>8 Jumlah Utang (1 s/d 7)</t>
  </si>
  <si>
    <t>12 Dana Investasi Real Estate</t>
  </si>
  <si>
    <t>II. CADANGAN TEKNIS</t>
  </si>
  <si>
    <t>13 REPO</t>
  </si>
  <si>
    <t>9 Cadangan Premi</t>
  </si>
  <si>
    <t>14 Penyertaan Langsung</t>
  </si>
  <si>
    <t>10 Cadangan Atas Premi yang Belum Merupakan Pendapatan</t>
  </si>
  <si>
    <t>15 Tanah, Bangunan dengan Hak Strata, atau Tanah dengan Bangunan untuk Investasi</t>
  </si>
  <si>
    <t>11 Cadangan Klaim</t>
  </si>
  <si>
    <t>16 Pembiayaan Melalui Kerjasama dengan Pihak Lain (Executing)</t>
  </si>
  <si>
    <t>12 Cadangan atas Risiko Bencana (Catastrophic)</t>
  </si>
  <si>
    <t>17 Emas Murni</t>
  </si>
  <si>
    <t>13 Jumlah Cadangan Teknis (9 s/d 12)</t>
  </si>
  <si>
    <t>18 Pinjaman Polis</t>
  </si>
  <si>
    <t>14 Jumlah Liabilitas (8+13)</t>
  </si>
  <si>
    <t>19 Investasi Lain</t>
  </si>
  <si>
    <t>15 Pinjaman Subordinasi</t>
  </si>
  <si>
    <t>20 Jumlah Investasi (1 s/d 19)</t>
  </si>
  <si>
    <t>III. EKUITAS</t>
  </si>
  <si>
    <t>II. BUKAN INVESTASI</t>
  </si>
  <si>
    <t>16 Modal Disetor</t>
  </si>
  <si>
    <t>21 Kas dan Bank</t>
  </si>
  <si>
    <t>17 Agio Saham</t>
  </si>
  <si>
    <t>22 Tagihan Premi Penutupan Langsung</t>
  </si>
  <si>
    <t>18 Saldo Laba</t>
  </si>
  <si>
    <t>23 Tagihan Premi Reasuransi</t>
  </si>
  <si>
    <t>19 Komponen Ekuitas Lainnya</t>
  </si>
  <si>
    <t>24 Aset Reasuransi</t>
  </si>
  <si>
    <t>20 Jumlah Ekuitas (16 s/d 19)</t>
  </si>
  <si>
    <t>25 Tagihan Klaim Koasuransi</t>
  </si>
  <si>
    <t>21 Jumlah Liabilitas dan Ekuitas (14+15+20)</t>
  </si>
  <si>
    <t>26 Tagihan Klaim Reasuransi</t>
  </si>
  <si>
    <t>27 Tagihan Investasi</t>
  </si>
  <si>
    <t>28 Tagihan Hasil Investasi</t>
  </si>
  <si>
    <t>29 Bangunan dengan Hak Strata atau Tanah dengan Bangunan Untuk Dipakai Sendiri</t>
  </si>
  <si>
    <t>30 Biaya Akuisisi yang Ditangguhkan</t>
  </si>
  <si>
    <t>31 Aset Tetap Lain</t>
  </si>
  <si>
    <t>32 Aset Lain</t>
  </si>
  <si>
    <t>33 Jumlah Bukan Investasi (21 s/d 32)</t>
  </si>
  <si>
    <t>34 Jumlah Aset (21+33)</t>
  </si>
  <si>
    <t>LIABILITAS_DAN_EKUITAS_April_2032</t>
  </si>
  <si>
    <t>30 APRIL 2025/</t>
  </si>
  <si>
    <t>TINGKAT_KESEHATAN_KEUANGAN_Marein_Desember_2025</t>
  </si>
  <si>
    <t>PENDAPATAN_UNDERWRITING2026</t>
  </si>
  <si>
    <t>PENDAPATAN_UNDERWRITING2027</t>
  </si>
  <si>
    <t>LIABILITAS DAN EKUITAS</t>
  </si>
  <si>
    <t>2025</t>
  </si>
  <si>
    <t>2024</t>
  </si>
  <si>
    <t>A Tingkat Solvabilitas</t>
  </si>
  <si>
    <t>I. PENDAPATAN UNDERWRITING</t>
  </si>
  <si>
    <t>a. Aset Yang Diperkenankan</t>
  </si>
  <si>
    <t>4.789.969</t>
  </si>
  <si>
    <t>1 Premi Bruto</t>
  </si>
  <si>
    <t>b. Kewajiban</t>
  </si>
  <si>
    <t>c. Jumlah Tingkat Solvabilitas</t>
  </si>
  <si>
    <t>B Modal Minimum Berbasis Risiko (MMBR)</t>
  </si>
  <si>
    <t>2 Jumlah Pendapatan Premi</t>
  </si>
  <si>
    <t>a. Risiko Kredit</t>
  </si>
  <si>
    <t>b. Risiko Likuiditas</t>
  </si>
  <si>
    <t>3 Jumlah Premi Bruto</t>
  </si>
  <si>
    <t>c. Risiko Pasar</t>
  </si>
  <si>
    <t>4 Premi Reasuransi</t>
  </si>
  <si>
    <t>d. Risiko Asuransi</t>
  </si>
  <si>
    <t>e. Risiko Operasional</t>
  </si>
  <si>
    <t>f. Jumlah MMBR</t>
  </si>
  <si>
    <t>5 Jumlah Premi Reasuransi</t>
  </si>
  <si>
    <t>C. Kelebihan (Kekurangan) Batas Tingkat Solvabilitas</t>
  </si>
  <si>
    <t>6 Jumlah Premi Neto</t>
  </si>
  <si>
    <t>D. Rasio Pencapaian Solvabilitas (%)</t>
  </si>
  <si>
    <t>7 Penurunan (Kenaikan) Cadangan Premi, CAPYBMP dan Catastrophic</t>
  </si>
  <si>
    <t>Informasi Lain</t>
  </si>
  <si>
    <t>a. Rasio Kecukupan Investasi (%)</t>
  </si>
  <si>
    <t>b. Rasio Likuiditas (%)</t>
  </si>
  <si>
    <t>c. Penurunan (Kenaikan) atas Risiko Bencana (Catastrophic)</t>
  </si>
  <si>
    <t>15 Piniaman Subordinasi</t>
  </si>
  <si>
    <t>c. Rasio Perimbangan Hasil Investasi dengan Pendapatan Premi Neto</t>
  </si>
  <si>
    <t>8 Jumlah Penurunan (Kenaikan) Cadangan</t>
  </si>
  <si>
    <t>d. Rasio Beban (Klaim, Usaha, dan Komisi) terhadap Pendapatan Premi Neto (%)</t>
  </si>
  <si>
    <t>9 Jumlah Pendapatan Premi Neto</t>
  </si>
  <si>
    <t>10 Pendapatan Underwriting Lain Neto</t>
  </si>
  <si>
    <t>11 Jumlah Pendapatan Underwriting</t>
  </si>
  <si>
    <t>LIABILITAS_DAN_EKUITAS_April_2026</t>
  </si>
  <si>
    <t>LIABILITAS_DAN_EKUITAS_April_2027</t>
  </si>
  <si>
    <t>LIABILITAS_DAN_EKUITAS_April_2029</t>
  </si>
  <si>
    <t>LIABILITAS_DAN_EKUITAS_April_2033</t>
  </si>
  <si>
    <t>PENDAPATAN_UNDERWRITING_April_2026</t>
  </si>
  <si>
    <t>30 APRIL 2024/</t>
  </si>
  <si>
    <t>APRIL 30. 2025</t>
  </si>
  <si>
    <t>7 Penurunan (Kenaikan) Cadangan Premi, CAPYBMP, dan Cadangan Catastrophic</t>
  </si>
  <si>
    <t>c. Penurunan (Kenaikan) Cadangan Atas Risiko Bencana (Catastrophic)</t>
  </si>
  <si>
    <t>Jumlah_Premi_Bruto_Laporan_Laba_Rugi</t>
  </si>
  <si>
    <t>Jumlah_Premi_Bruto_Laporan_Laba_Rugi_Komprehensif</t>
  </si>
  <si>
    <t>BEBAN_USAHA_April_2025</t>
  </si>
  <si>
    <t>18 HASIL INVESTASI</t>
  </si>
  <si>
    <t>19 Beban Usaha</t>
  </si>
  <si>
    <t>- Beban Umum dan Administrasi Lainnya</t>
  </si>
  <si>
    <t>20 Jumlah Beban Usaha</t>
  </si>
  <si>
    <t>21 LABA (RUGI) USAHA ASURANSI</t>
  </si>
  <si>
    <t>22 Hasil (Beban) Lain</t>
  </si>
  <si>
    <t>23 Laba (Rugi) Sebelum Pajak</t>
  </si>
  <si>
    <t>24 Pajak Penghasilan</t>
  </si>
  <si>
    <t>25 LABA (RUGI) SETELAH PAJAK</t>
  </si>
  <si>
    <t>26 Pendapatan Komprehensif Lain</t>
  </si>
  <si>
    <t>27 TOTAL LABA (RUGI) KOMPREHENSIF</t>
  </si>
  <si>
    <t>PEMILIK_PERUSAHAAN_April_2025</t>
  </si>
  <si>
    <t>DESCRIPTION</t>
  </si>
  <si>
    <t>SHAREOWNERSHIP</t>
  </si>
  <si>
    <t>PT Graha Sentosa Persada</t>
  </si>
  <si>
    <t>AJB Bumiputera 1912</t>
  </si>
  <si>
    <t>Bank of Singapore Limited</t>
  </si>
  <si>
    <t>Public (less than 5%)</t>
  </si>
  <si>
    <t>DEWAN_KOMISARIS_April_2025</t>
  </si>
  <si>
    <t>BOARD OF COMMISSIONER</t>
  </si>
  <si>
    <t>Presiden Komisaris</t>
  </si>
  <si>
    <t>Yanto Jayadi Wibisono, S.E., AMRP</t>
  </si>
  <si>
    <t>Komisaris</t>
  </si>
  <si>
    <t>Ir. Sarkoro Handajani, M.M., AMRP</t>
  </si>
  <si>
    <t>Komisaris Independen</t>
  </si>
  <si>
    <t>Prof. Dr. H. Utang Ranuwijaya, MA</t>
  </si>
  <si>
    <t>DEWAN_PENGAWAS_SYARIAH_April_2025</t>
  </si>
  <si>
    <t>SHARIA SUPERVISORY BOARD</t>
  </si>
  <si>
    <t>Dewan Pengawas Syariah</t>
  </si>
  <si>
    <t>Dr. Robby Loho, APAI, CIIB, AAIK, QIP, CPIE, AMRP, FMII, ANZIIF (Snr. Assoc.) CIP</t>
  </si>
  <si>
    <t>DIREKSI_April_2025</t>
  </si>
  <si>
    <t>BOARD OF DIRECTOR</t>
  </si>
  <si>
    <t>Presiden Direktur</t>
  </si>
  <si>
    <t>Ir. Trinita Situmeang, M.M., AAIK, ANZIIF (Snr. Assoc.) CIP, AMRP, QCRO</t>
  </si>
  <si>
    <t>Direktur</t>
  </si>
  <si>
    <t>Fanra Budiman Arief, S.Si., M.Com., ASAI, AIIS, AAU, QIP, AMRP</t>
  </si>
  <si>
    <t>Aloysia Dwi Ana Nurhandayani, S.E., AAAIK, CPLHI, QCRO</t>
  </si>
  <si>
    <t>Direktur Keuangan</t>
  </si>
  <si>
    <t>REASURADUR_UTAMA_GENERAL_April_2025</t>
  </si>
  <si>
    <t>NAMA REASURADUR/RETROCESSION NAME</t>
  </si>
  <si>
    <t>Reasuransi Umum / General Reinsurance</t>
  </si>
  <si>
    <t>1. Odyssey Reinsurance Company</t>
  </si>
  <si>
    <t>2. Hannover Rueck SE</t>
  </si>
  <si>
    <t>3. Canopius Asia Pte. Ltd.</t>
  </si>
  <si>
    <t>4. Korean Reinsurance Company</t>
  </si>
  <si>
    <t>5. Labuan Reinsurance (L) Ltd.</t>
  </si>
  <si>
    <t>6. Swiss Re Asia Pte. Ltd.</t>
  </si>
  <si>
    <t>7. Munich Reinsurance Company</t>
  </si>
  <si>
    <t>REASURADUR_UTAMA_LIFE_April_2025</t>
  </si>
  <si>
    <t>Indikator_Kesehatan_Keuangan_Agustus_2025</t>
  </si>
  <si>
    <t>Komisaris_dan_Direksi_Agustus_2025</t>
  </si>
  <si>
    <t>Pemilik_Perusahaan_Agustus_2025</t>
  </si>
  <si>
    <t>Reasuradur_Utama_Agustus_2025</t>
  </si>
  <si>
    <t>Jabatan</t>
  </si>
  <si>
    <t>Nama</t>
  </si>
  <si>
    <t>Nama_Perusahaan</t>
  </si>
  <si>
    <t>Persentase</t>
  </si>
  <si>
    <t>Nama_Reasuradur</t>
  </si>
  <si>
    <t>Reasuransi Jiwa / Life Reinsurance</t>
  </si>
  <si>
    <t>KOMISARIS DAN DIREKSI</t>
  </si>
  <si>
    <t>PEMILIK PERUSAHAAN</t>
  </si>
  <si>
    <t>REASURADUR UTAMA</t>
  </si>
  <si>
    <t>1. Munich Reinsurance Company</t>
  </si>
  <si>
    <t>DEWAN KOMISARIS</t>
  </si>
  <si>
    <t>PT Asuransi Multi Artha Guna Tbk</t>
  </si>
  <si>
    <t>NAMA REASURADUR</t>
  </si>
  <si>
    <t>%</t>
  </si>
  <si>
    <t>2. The Toa Reinsurance Co. Ltd.</t>
  </si>
  <si>
    <t>b. Liabilitas (kecuali Pinjaman Subordinasi)</t>
  </si>
  <si>
    <t>KOMISARIS UTAMA</t>
  </si>
  <si>
    <t>Budi Herawan</t>
  </si>
  <si>
    <t>PT Asuransi Tugu Pratama Indonesia Tbk</t>
  </si>
  <si>
    <t>Reasuransi Dalam Negeri</t>
  </si>
  <si>
    <t>3. Partner Reinsurance Asia Pte. Ltd.</t>
  </si>
  <si>
    <t>KOMISARIS</t>
  </si>
  <si>
    <t>Tatang Nurhidayat</t>
  </si>
  <si>
    <t>PT Maskapai Reasuransi Indonesia Tbk</t>
  </si>
  <si>
    <t>4. Lain-lain/Others</t>
  </si>
  <si>
    <t>Arun Arjandas Nanwani</t>
  </si>
  <si>
    <t>DIREKSI</t>
  </si>
  <si>
    <t>PT Reasuransi Nusantara Makmur Indonesia</t>
  </si>
  <si>
    <t>DIREKTUR UTAMA</t>
  </si>
  <si>
    <t>Kocu Andre Hutagalung</t>
  </si>
  <si>
    <t>Reasuransi Luar Negeri</t>
  </si>
  <si>
    <t>DIREKTUR TEKNIK</t>
  </si>
  <si>
    <t>Reza Andre Nasution</t>
  </si>
  <si>
    <t>Lainnya (kepemilikan kurang dari 3%), sebanyak 76 anggota Asosiasi Asuransi Umum Indonesia</t>
  </si>
  <si>
    <t>Munich Re, Singapore</t>
  </si>
  <si>
    <t>DIREKTUR KEUANGAN</t>
  </si>
  <si>
    <t>Sunarso</t>
  </si>
  <si>
    <t>Swiss Re Asia, Pte, Ltd, Singapore</t>
  </si>
  <si>
    <t>Allianz SE Reinsurance, Singapore</t>
  </si>
  <si>
    <t>1. Jumlah MMBR</t>
  </si>
  <si>
    <t>Hannover Rueck SE, Malaysia</t>
  </si>
  <si>
    <t>Lainnya</t>
  </si>
  <si>
    <t>D. Rasio Pencapaian Solvabilitas (%)*</t>
  </si>
  <si>
    <t>RASIO SELAIN TINGKAT SOLVABILITAS</t>
  </si>
  <si>
    <t>c. Rasio Perimbangan Hasil Investasi dengan Pendapatan Premi Neto (%)</t>
  </si>
  <si>
    <t>Aset_Agustus_2025</t>
  </si>
  <si>
    <t>Liabilitas_dan_Ekuitas_Agustus_2025</t>
  </si>
  <si>
    <t>1. UTANG</t>
  </si>
  <si>
    <t>1. Utang Klaim</t>
  </si>
  <si>
    <t>6. Biaya yang Masih Harus Dibayar</t>
  </si>
  <si>
    <t>8 Surat Berharga yang Diterbitkan oleh Bank Indonesia</t>
  </si>
  <si>
    <t>10 Reksa Dana</t>
  </si>
  <si>
    <t>12 Dana Invesatasi Real Estat</t>
  </si>
  <si>
    <t>10 Cadangan Atas Premi Yang Belum Merupakan Pendapatan</t>
  </si>
  <si>
    <t>15 Tanah, Bangunan dengan Hak Strata atau Tanah dengan Bangunan, untuk Investasi</t>
  </si>
  <si>
    <t>16 Pembayaran Melalui Kerjasama dengan Pihak Lain</t>
  </si>
  <si>
    <t>18 Pinjaman yang Dijamin dengan Hak Tanggungan</t>
  </si>
  <si>
    <t>19 Pinjaman Polis</t>
  </si>
  <si>
    <t>20 Investasi Lain</t>
  </si>
  <si>
    <t>21 Jumlah Investasi (1 s/d 20)</t>
  </si>
  <si>
    <t>22 Kas dan Bank</t>
  </si>
  <si>
    <t>23 Tagihan Premi Penutupan Langsung</t>
  </si>
  <si>
    <t>24 Tagihan Premi Reasuransi</t>
  </si>
  <si>
    <t>25 Aset Reasuransi</t>
  </si>
  <si>
    <t>26 Tagihan Klaim Koasuransi</t>
  </si>
  <si>
    <t>27 Tagihan Klaim Reasuransi</t>
  </si>
  <si>
    <t>28 Tagihan Investasi</t>
  </si>
  <si>
    <t>29 Tagihan Hasil Investasi</t>
  </si>
  <si>
    <t>30 Bangunan dengan Hak Strata atau Tanah dengah Banguna untuk Dipakai Sendiri</t>
  </si>
  <si>
    <t>31 Biaya Akuisisi yang Ditangguhkan</t>
  </si>
  <si>
    <t>32 Aset Tetap Lain</t>
  </si>
  <si>
    <t>33 Aset Lain</t>
  </si>
  <si>
    <t>34 Jumlah Bukan Investasi (22 s/d 33)</t>
  </si>
  <si>
    <t>35 Jumlah Aset (21+34)</t>
  </si>
  <si>
    <t>Laporan_Laba_Rugi_Komprehensif_September_2025</t>
  </si>
  <si>
    <t>II. BEBAN UNDERWRITING</t>
  </si>
  <si>
    <t>12 Beban Klaim</t>
  </si>
  <si>
    <t>13 Jumlah Beban Klaim Neto</t>
  </si>
  <si>
    <t>14 Beban Underwriting Lain Neto</t>
  </si>
  <si>
    <t>15 Jumlah Beban Underwriting</t>
  </si>
  <si>
    <t>16 HASIL UNDERWRITING</t>
  </si>
  <si>
    <t>17 Hasil Investasi</t>
  </si>
  <si>
    <t>18 Beban Usaha</t>
  </si>
  <si>
    <t>b. Beban Umum dan Administrasi</t>
  </si>
  <si>
    <t>c. Beban Terkait Estimasi Kecelakaan Diri</t>
  </si>
  <si>
    <t>19 Jumlah Beban Usaha</t>
  </si>
  <si>
    <t>20 LABA (RUGI) USAHA ASURANSI</t>
  </si>
  <si>
    <t>21 Hasil (Beban) Lain</t>
  </si>
  <si>
    <t>22 Laba (Rugi) Sebelum Pajak</t>
  </si>
  <si>
    <t>23 Pajak Penghasilan</t>
  </si>
  <si>
    <t>24 Laba (Rugi) Setelah Pajak</t>
  </si>
  <si>
    <t>25 Pendapatan Komprehensif Lain</t>
  </si>
  <si>
    <t>26 Total Laba (Rugi) Komprehensif</t>
  </si>
  <si>
    <t>Laporan_Laba_Rugi_Komprehensif_Oktober_2025</t>
  </si>
  <si>
    <t>Laporan_Laba_Rugi_Komprehensif_November_2025</t>
  </si>
  <si>
    <t>Laporan_Laba_Rugi_Komprehensif_Desember</t>
  </si>
  <si>
    <t>Jumlah_Premi_Bruto_Desember_2025</t>
  </si>
  <si>
    <t>Laporan_Laba_Rugi_Komprehensif_Mei_2025</t>
  </si>
  <si>
    <t>Pendapatan_Underwriting_April_2025</t>
  </si>
  <si>
    <t>Premi Penutupan Langsung</t>
  </si>
  <si>
    <t>Premi Penutupan Tidak Langsung</t>
  </si>
  <si>
    <t>Komisi Dibayar</t>
  </si>
  <si>
    <t>Laporan_Laba_Rugi_Komprehensif_Januari_2025</t>
  </si>
  <si>
    <t>31 JANUARI 2025</t>
  </si>
  <si>
    <t>31 JANUARI 2024</t>
  </si>
  <si>
    <t>Premi Reasuransi Dibayar</t>
  </si>
  <si>
    <t>Komisi Reasuransi Diterima</t>
  </si>
  <si>
    <t>Jumlah Premi Neto</t>
  </si>
  <si>
    <t>Claim Expenses</t>
  </si>
  <si>
    <t>Kenaikan (Penurunan) Cadangan Klaim</t>
  </si>
  <si>
    <t>HASIL INVESTASI</t>
  </si>
  <si>
    <t>Beban Pendidikan dan Pelatihan</t>
  </si>
  <si>
    <t>Jumlah Beban Usaha</t>
  </si>
  <si>
    <t>LABA (RUGI) SETELAH PAJAK</t>
  </si>
  <si>
    <t>TOTAL LABA (RUGI) KOMPREHENSIF</t>
  </si>
  <si>
    <t>Laporan_Laba_Rugi_Komprehensif_Februari_2025</t>
  </si>
  <si>
    <t>28 FEBRUARI 2025</t>
  </si>
  <si>
    <t>29 FEBRUARI 2024</t>
  </si>
  <si>
    <t>Penurunan (Kenaikan) Cadangan Premi</t>
  </si>
  <si>
    <t>Beban Pemasaran</t>
  </si>
  <si>
    <t>Beban Umum dan Administrasi Lainnya</t>
  </si>
  <si>
    <t>Laporan_Laba_Rugi_Komprehensif_Maret_2025</t>
  </si>
  <si>
    <t>Klaim Bruto</t>
  </si>
  <si>
    <t>Laporan_Laba_Rugi_Komprehensif_Mei_2025_Extracted</t>
  </si>
  <si>
    <t>31 MEI 2025</t>
  </si>
  <si>
    <t>31 MEI 2024</t>
  </si>
  <si>
    <t>13 Beban Klaim</t>
  </si>
  <si>
    <t>15 Beban Underwriting Lain Neto</t>
  </si>
  <si>
    <t>17 HASIL UNDERWRITING</t>
  </si>
  <si>
    <t>Laporan_Laba_Rugi_Komprehensif_Juni_2026</t>
  </si>
  <si>
    <t>17 HASIL INVESTASI</t>
  </si>
  <si>
    <t>24 LABA (RUGI) SETELAH PAJAK</t>
  </si>
  <si>
    <t>26 TOTAL LABA (RUGI) KOMPREHENSIF</t>
  </si>
  <si>
    <t>Laporan_Laba_Rugi_Komprehensif_Juli_2025</t>
  </si>
  <si>
    <t>31 JULI 2025</t>
  </si>
  <si>
    <t>31 JULI 2024</t>
  </si>
  <si>
    <t>Laporan_Laba_Rugi_Komprehensif_Agustus_2025</t>
  </si>
  <si>
    <t>4 Jumlah Premi Bruto</t>
  </si>
  <si>
    <t>5 Premi Reasuransi</t>
  </si>
  <si>
    <t>6 Jumlah Premi Reasuransi</t>
  </si>
  <si>
    <t>7 Jumlah Premi Neto</t>
  </si>
  <si>
    <t>8 Penurunan (Kenaikan) Cadangan Premi, CAPYBMP, dan Cadangan Catastrophic</t>
  </si>
  <si>
    <t>9 Jumlah Penurunan (Kenaikan) Cadangan</t>
  </si>
  <si>
    <t>10 Jumlah Pendapatan Premi Neto</t>
  </si>
  <si>
    <t>11 Pendapatan Underwriting Lain Neto</t>
  </si>
  <si>
    <t>12 Jumlah Pendapatan Underwriting</t>
  </si>
  <si>
    <t>14 Jumlah Beban Klaim Neto</t>
  </si>
  <si>
    <t>16 Jumlah Beban Underwriting</t>
  </si>
  <si>
    <t>Pendapatan_Underwriting_Marein_September_2025</t>
  </si>
  <si>
    <t>Penurunan (Kenaikan) Cadangan Premi, CAPYBMP, dan</t>
  </si>
  <si>
    <t>Cadangan Catastrophic</t>
  </si>
  <si>
    <t>Laporan_Laba_Rugi_Komprehensif_Oktober_2025_Marein</t>
  </si>
  <si>
    <t>31 OKTOBER 2025/</t>
  </si>
  <si>
    <t>31 OKTOBER 2024/</t>
  </si>
  <si>
    <t>2.639.419</t>
  </si>
  <si>
    <t>2.616.497</t>
  </si>
  <si>
    <t>(1.142.755)</t>
  </si>
  <si>
    <t>(1.189.978)</t>
  </si>
  <si>
    <t>(1.024.447)</t>
  </si>
  <si>
    <t>(1.085.354)</t>
  </si>
  <si>
    <t>1.614.972</t>
  </si>
  <si>
    <t>1.531.143</t>
  </si>
  <si>
    <t>1.572.092</t>
  </si>
  <si>
    <t>1.446.396</t>
  </si>
  <si>
    <t>2.107.212</t>
  </si>
  <si>
    <t>1.939.967</t>
  </si>
  <si>
    <t>1.574.238</t>
  </si>
  <si>
    <t>1.436.151</t>
  </si>
  <si>
    <t>1.574.950</t>
  </si>
  <si>
    <t>1.437.457</t>
  </si>
  <si>
    <t>Laporan_Laba_Rugi_Komprehensif_Desember_2025_Marein</t>
  </si>
</sst>
</file>

<file path=xl/styles.xml><?xml version="1.0" encoding="utf-8"?>
<styleSheet xmlns="http://schemas.openxmlformats.org/spreadsheetml/2006/main">
  <numFmts count="8">
    <numFmt numFmtId="164" formatCode="#,##0"/>
    <numFmt numFmtId="165" formatCode="#,##0.00"/>
    <numFmt numFmtId="166" formatCode="0.0%"/>
    <numFmt numFmtId="167" formatCode="0.0%.0"/>
    <numFmt numFmtId="168" formatCode="0.0%."/>
    <numFmt numFmtId="169" formatCode="0.0%.00"/>
    <numFmt numFmtId="170" formatCode=".0"/>
    <numFmt numFmtId="171" formatCode="mm/dd/yyyy"/>
  </numFmts>
  <fonts count="5">
    <font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9D2CE"/>
        <bgColor indexed="64"/>
      </patternFill>
    </fill>
    <fill>
      <patternFill patternType="solid">
        <fgColor rgb="FFFFF3C1"/>
        <bgColor indexed="64"/>
      </patternFill>
    </fill>
    <fill>
      <patternFill patternType="solid">
        <fgColor rgb="FFD8FFE8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164" fontId="0" fillId="0" borderId="1" xfId="0" applyNumberFormat="1" applyBorder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164" fontId="0" fillId="0" borderId="2" xfId="0" applyNumberFormat="1" applyBorder="1"/>
    <xf numFmtId="164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2" xfId="0" applyBorder="1"/>
    <xf numFmtId="164" fontId="0" fillId="0" borderId="1" xfId="0" applyNumberFormat="1" applyBorder="1" applyAlignment="1">
      <alignment horizontal="right"/>
    </xf>
    <xf numFmtId="164" fontId="0" fillId="2" borderId="0" xfId="0" applyNumberFormat="1" applyFill="1"/>
    <xf numFmtId="0" fontId="2" fillId="0" borderId="0" xfId="0" applyFont="1"/>
    <xf numFmtId="164" fontId="0" fillId="3" borderId="1" xfId="0" applyNumberFormat="1" applyFill="1" applyBorder="1"/>
    <xf numFmtId="164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1" xfId="0" applyFill="1" applyBorder="1" applyAlignment="1">
      <alignment horizontal="right"/>
    </xf>
    <xf numFmtId="164" fontId="0" fillId="3" borderId="2" xfId="0" applyNumberFormat="1" applyFill="1" applyBorder="1"/>
    <xf numFmtId="164" fontId="0" fillId="0" borderId="3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/>
    <xf numFmtId="164" fontId="0" fillId="3" borderId="0" xfId="0" applyNumberFormat="1" applyFill="1" applyAlignment="1">
      <alignment horizontal="right"/>
    </xf>
    <xf numFmtId="164" fontId="0" fillId="3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left"/>
    </xf>
    <xf numFmtId="164" fontId="0" fillId="0" borderId="2" xfId="0" applyNumberFormat="1" applyBorder="1" applyAlignment="1">
      <alignment horizontal="left"/>
    </xf>
    <xf numFmtId="164" fontId="0" fillId="0" borderId="7" xfId="0" applyNumberFormat="1" applyBorder="1"/>
    <xf numFmtId="0" fontId="0" fillId="0" borderId="7" xfId="0" applyBorder="1"/>
    <xf numFmtId="0" fontId="0" fillId="3" borderId="1" xfId="0" applyFill="1" applyBorder="1"/>
    <xf numFmtId="164" fontId="0" fillId="3" borderId="7" xfId="0" applyNumberFormat="1" applyFill="1" applyBorder="1"/>
    <xf numFmtId="0" fontId="0" fillId="4" borderId="1" xfId="0" applyFill="1" applyBorder="1"/>
    <xf numFmtId="164" fontId="0" fillId="3" borderId="0" xfId="0" applyNumberFormat="1" applyFill="1" applyAlignment="1">
      <alignment horizontal="left"/>
    </xf>
    <xf numFmtId="0" fontId="0" fillId="0" borderId="8" xfId="0" applyBorder="1"/>
    <xf numFmtId="164" fontId="0" fillId="5" borderId="0" xfId="0" applyNumberFormat="1" applyFill="1" applyAlignment="1">
      <alignment horizontal="right"/>
    </xf>
    <xf numFmtId="164" fontId="0" fillId="0" borderId="9" xfId="0" applyNumberFormat="1" applyBorder="1"/>
    <xf numFmtId="0" fontId="2" fillId="3" borderId="0" xfId="0" applyFont="1" applyFill="1"/>
    <xf numFmtId="164" fontId="0" fillId="0" borderId="7" xfId="0" applyNumberFormat="1" applyBorder="1" applyAlignment="1">
      <alignment horizontal="left"/>
    </xf>
    <xf numFmtId="0" fontId="0" fillId="2" borderId="0" xfId="0" applyFill="1"/>
    <xf numFmtId="0" fontId="0" fillId="0" borderId="10" xfId="0" applyBorder="1"/>
    <xf numFmtId="165" fontId="0" fillId="0" borderId="1" xfId="0" applyNumberFormat="1" applyBorder="1" applyAlignment="1">
      <alignment horizontal="right"/>
    </xf>
    <xf numFmtId="0" fontId="0" fillId="0" borderId="11" xfId="0" applyBorder="1"/>
    <xf numFmtId="164" fontId="0" fillId="0" borderId="0" xfId="0" applyNumberFormat="1" applyAlignment="1">
      <alignment horizontal="left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6" fontId="0" fillId="0" borderId="1" xfId="0" applyNumberFormat="1" applyBorder="1"/>
    <xf numFmtId="166" fontId="0" fillId="2" borderId="0" xfId="0" applyNumberFormat="1" applyFill="1"/>
    <xf numFmtId="166" fontId="0" fillId="3" borderId="0" xfId="0" applyNumberFormat="1" applyFill="1"/>
    <xf numFmtId="167" fontId="0" fillId="0" borderId="0" xfId="0" applyNumberFormat="1" applyAlignment="1">
      <alignment horizontal="right"/>
    </xf>
    <xf numFmtId="168" fontId="0" fillId="0" borderId="0" xfId="0" applyNumberFormat="1"/>
    <xf numFmtId="168" fontId="0" fillId="0" borderId="1" xfId="0" applyNumberFormat="1" applyBorder="1"/>
    <xf numFmtId="169" fontId="0" fillId="0" borderId="0" xfId="0" applyNumberFormat="1"/>
    <xf numFmtId="164" fontId="3" fillId="5" borderId="0" xfId="0" applyNumberFormat="1" applyFont="1" applyFill="1" applyAlignment="1">
      <alignment horizontal="right"/>
    </xf>
    <xf numFmtId="166" fontId="3" fillId="5" borderId="0" xfId="0" applyNumberFormat="1" applyFont="1" applyFill="1" applyAlignment="1">
      <alignment horizontal="right"/>
    </xf>
    <xf numFmtId="166" fontId="0" fillId="5" borderId="0" xfId="0" applyNumberFormat="1" applyFill="1" applyAlignment="1">
      <alignment horizontal="right"/>
    </xf>
    <xf numFmtId="170" fontId="0" fillId="0" borderId="0" xfId="0" applyNumberFormat="1" applyAlignment="1">
      <alignment horizontal="right"/>
    </xf>
    <xf numFmtId="165" fontId="0" fillId="0" borderId="3" xfId="0" applyNumberFormat="1" applyBorder="1" applyAlignment="1">
      <alignment horizontal="right"/>
    </xf>
    <xf numFmtId="16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0" fillId="5" borderId="0" xfId="0" applyFill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2"/>
  <sheetViews>
    <sheetView tabSelected="1" workbookViewId="0"/>
  </sheetViews>
  <sheetFormatPr defaultRowHeight="15"/>
  <cols>
    <col min="1" max="1" width="49.7109375" customWidth="1"/>
    <col min="2" max="2" width="14.42578125" customWidth="1"/>
    <col min="13" max="13" width="20.85546875" customWidth="1"/>
    <col min="14" max="14" width="26.140625" customWidth="1"/>
    <col min="15" max="15" width="48.5703125" customWidth="1"/>
    <col min="16" max="16" width="24.28515625" customWidth="1"/>
    <col min="17" max="17" width="25.140625" customWidth="1"/>
  </cols>
  <sheetData>
    <row r="1" spans="1:27">
      <c r="A1" s="1" t="s">
        <v>0</v>
      </c>
      <c r="B1" s="2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>
        <v>2026</v>
      </c>
      <c r="O1" s="6" t="s">
        <v>0</v>
      </c>
      <c r="P1" s="7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4" t="s">
        <v>12</v>
      </c>
    </row>
    <row r="2" spans="1:27">
      <c r="A2" s="8" t="s">
        <v>13</v>
      </c>
      <c r="B2" s="9">
        <v>2025</v>
      </c>
      <c r="D2" s="3"/>
      <c r="E2" s="3"/>
      <c r="F2" s="3"/>
      <c r="G2" s="3"/>
      <c r="H2" s="3"/>
      <c r="I2" s="3"/>
      <c r="J2" s="3"/>
      <c r="K2" s="3"/>
      <c r="L2" s="3"/>
      <c r="M2" s="4"/>
      <c r="N2" s="10"/>
      <c r="O2" s="11" t="s">
        <v>13</v>
      </c>
    </row>
    <row r="3" spans="1:27">
      <c r="A3" s="1" t="s">
        <v>14</v>
      </c>
      <c r="B3" s="2"/>
      <c r="D3" s="3"/>
      <c r="E3" s="3"/>
      <c r="F3" s="3"/>
      <c r="G3" s="3"/>
      <c r="H3" s="3"/>
      <c r="I3" s="3"/>
      <c r="J3" s="3"/>
      <c r="K3" s="7">
        <v>17455265</v>
      </c>
      <c r="L3" s="3" t="s">
        <v>15</v>
      </c>
      <c r="M3" s="12">
        <v>16607871</v>
      </c>
      <c r="N3" s="10"/>
      <c r="O3" s="6" t="s">
        <v>14</v>
      </c>
      <c r="P3" s="2">
        <v>16607872</v>
      </c>
      <c r="Q3" s="13">
        <v>16657218</v>
      </c>
    </row>
    <row r="4" spans="1:27">
      <c r="A4" s="1" t="s">
        <v>16</v>
      </c>
      <c r="B4" s="2">
        <v>726939</v>
      </c>
      <c r="C4" s="2">
        <v>723395</v>
      </c>
      <c r="D4" s="7">
        <v>760664</v>
      </c>
      <c r="E4" s="7">
        <v>807822</v>
      </c>
      <c r="F4" s="7">
        <v>778797</v>
      </c>
      <c r="G4" s="7">
        <v>817486</v>
      </c>
      <c r="H4" s="7">
        <v>722400</v>
      </c>
      <c r="I4" s="7">
        <v>698950</v>
      </c>
      <c r="J4" s="7">
        <v>832261</v>
      </c>
      <c r="K4" s="7">
        <v>905759</v>
      </c>
      <c r="L4" s="7">
        <v>849478</v>
      </c>
      <c r="M4" s="12">
        <v>815366</v>
      </c>
      <c r="N4" s="10"/>
      <c r="O4" s="6" t="s">
        <v>16</v>
      </c>
      <c r="P4" s="2">
        <v>819092.13</v>
      </c>
      <c r="Q4" s="2">
        <v>759895.43</v>
      </c>
    </row>
    <row r="5" spans="1:27">
      <c r="A5" s="1" t="s">
        <v>17</v>
      </c>
      <c r="B5" s="2">
        <v>696657</v>
      </c>
      <c r="C5" s="2">
        <v>681466</v>
      </c>
      <c r="D5" s="7">
        <v>681977</v>
      </c>
      <c r="E5" s="7">
        <v>673177</v>
      </c>
      <c r="F5" s="7">
        <v>668113</v>
      </c>
      <c r="G5" s="7">
        <v>685411</v>
      </c>
      <c r="H5" s="7">
        <v>672943</v>
      </c>
      <c r="I5" s="7">
        <v>683627</v>
      </c>
      <c r="J5" s="7">
        <v>705936</v>
      </c>
      <c r="K5" s="7">
        <v>705253</v>
      </c>
      <c r="L5" s="7">
        <v>705692</v>
      </c>
      <c r="M5" s="12">
        <v>712861</v>
      </c>
      <c r="N5" s="10"/>
      <c r="O5" s="6" t="s">
        <v>17</v>
      </c>
      <c r="P5" s="2">
        <v>718690</v>
      </c>
      <c r="Q5" s="2">
        <v>786560</v>
      </c>
    </row>
    <row r="6" spans="1:27">
      <c r="A6" s="1" t="s">
        <v>18</v>
      </c>
      <c r="B6" s="2">
        <v>20243652</v>
      </c>
      <c r="C6">
        <v>20472015</v>
      </c>
      <c r="D6" s="3">
        <v>20513007</v>
      </c>
      <c r="E6" s="3">
        <v>20854526</v>
      </c>
      <c r="F6" s="3">
        <v>20572440</v>
      </c>
      <c r="G6" s="3">
        <v>20876716</v>
      </c>
      <c r="H6" s="3">
        <v>21206671</v>
      </c>
      <c r="I6" s="3">
        <v>21351059</v>
      </c>
      <c r="J6" s="3">
        <v>21435765</v>
      </c>
      <c r="K6" s="3">
        <v>21344541</v>
      </c>
      <c r="L6" s="3">
        <v>21410407</v>
      </c>
      <c r="M6" s="12">
        <v>21316780</v>
      </c>
      <c r="N6" s="14"/>
      <c r="O6" s="6" t="s">
        <v>18</v>
      </c>
      <c r="P6" s="2">
        <v>22801467</v>
      </c>
      <c r="Q6" s="13">
        <v>23113584</v>
      </c>
    </row>
    <row r="7" spans="1:27">
      <c r="A7" s="1" t="s">
        <v>19</v>
      </c>
      <c r="B7" s="2">
        <v>671931</v>
      </c>
      <c r="C7">
        <v>686469</v>
      </c>
      <c r="D7" s="7">
        <v>705048</v>
      </c>
      <c r="E7" s="7">
        <v>779161</v>
      </c>
      <c r="F7" s="3">
        <v>772701</v>
      </c>
      <c r="G7" s="7">
        <v>763359</v>
      </c>
      <c r="H7" s="7">
        <v>770029</v>
      </c>
      <c r="I7" s="3">
        <v>777472</v>
      </c>
      <c r="J7" s="7">
        <v>772423</v>
      </c>
      <c r="K7" s="7">
        <v>785083</v>
      </c>
      <c r="L7" s="7">
        <v>781.184</v>
      </c>
      <c r="M7" s="12">
        <v>861692</v>
      </c>
      <c r="N7" s="14"/>
      <c r="O7" s="6" t="s">
        <v>19</v>
      </c>
      <c r="P7" s="2">
        <v>900390</v>
      </c>
      <c r="Q7" s="2">
        <v>936214.79</v>
      </c>
    </row>
    <row r="8" spans="1:27">
      <c r="A8" s="15" t="s">
        <v>20</v>
      </c>
      <c r="B8" s="16" t="s">
        <v>21</v>
      </c>
      <c r="C8" s="17"/>
      <c r="D8" s="18"/>
      <c r="E8" s="18"/>
      <c r="F8" s="18"/>
      <c r="G8" s="18"/>
      <c r="H8" s="18"/>
      <c r="I8" s="18"/>
      <c r="J8" s="18"/>
      <c r="K8" s="18"/>
      <c r="L8" s="18"/>
      <c r="M8" s="19"/>
      <c r="N8" s="14"/>
      <c r="O8" s="20" t="s">
        <v>20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>
      <c r="A9" s="1" t="s">
        <v>22</v>
      </c>
      <c r="B9" s="2">
        <v>318804.36</v>
      </c>
      <c r="C9" s="2">
        <v>302267.38</v>
      </c>
      <c r="D9" s="7">
        <v>303645.1</v>
      </c>
      <c r="E9" s="7">
        <v>292379.15</v>
      </c>
      <c r="F9" s="7">
        <v>308398.94</v>
      </c>
      <c r="G9" s="7">
        <v>307490.36</v>
      </c>
      <c r="H9" s="7">
        <v>318368.39</v>
      </c>
      <c r="I9" s="7">
        <v>313032.08</v>
      </c>
      <c r="J9" s="7">
        <v>345882.7</v>
      </c>
      <c r="K9" s="7">
        <v>330285.27</v>
      </c>
      <c r="L9" s="7">
        <v>323601.19</v>
      </c>
      <c r="M9" s="12">
        <v>363448.31</v>
      </c>
      <c r="N9" s="14"/>
      <c r="O9" s="6" t="s">
        <v>22</v>
      </c>
      <c r="P9" s="2">
        <v>351950.38</v>
      </c>
      <c r="Q9" s="2">
        <v>348216.29</v>
      </c>
    </row>
    <row r="10" spans="1:27">
      <c r="A10" s="1" t="s">
        <v>23</v>
      </c>
      <c r="B10" s="2">
        <v>929554.24</v>
      </c>
      <c r="C10" s="2">
        <v>934471.77</v>
      </c>
      <c r="D10" s="7">
        <v>935847.78</v>
      </c>
      <c r="E10" s="7">
        <v>909330.2</v>
      </c>
      <c r="F10" s="7">
        <v>905926.97</v>
      </c>
      <c r="G10" s="7">
        <v>912298.87</v>
      </c>
      <c r="H10" s="7">
        <v>912166.99</v>
      </c>
      <c r="I10" s="7">
        <v>905575.89</v>
      </c>
      <c r="J10" s="7">
        <v>921727</v>
      </c>
      <c r="K10" s="7">
        <v>918956.44</v>
      </c>
      <c r="L10" s="7">
        <v>933987.67</v>
      </c>
      <c r="M10" s="12">
        <v>943033.07</v>
      </c>
      <c r="N10" s="14"/>
      <c r="O10" s="6" t="s">
        <v>23</v>
      </c>
      <c r="P10" s="2">
        <v>952254.52</v>
      </c>
      <c r="Q10" s="2">
        <v>945064.57</v>
      </c>
    </row>
    <row r="11" spans="1:27">
      <c r="A11" s="1" t="s">
        <v>24</v>
      </c>
      <c r="B11" s="2">
        <v>929055</v>
      </c>
      <c r="C11" s="2">
        <v>907481</v>
      </c>
      <c r="D11" s="7">
        <v>896192</v>
      </c>
      <c r="E11" s="7">
        <v>913664</v>
      </c>
      <c r="F11" s="7">
        <v>860169</v>
      </c>
      <c r="G11" s="7">
        <v>862427</v>
      </c>
      <c r="H11" s="7">
        <v>845041</v>
      </c>
      <c r="I11" s="7">
        <v>820051</v>
      </c>
      <c r="J11" s="7">
        <v>838149</v>
      </c>
      <c r="K11" s="7">
        <v>839496</v>
      </c>
      <c r="L11" s="18"/>
      <c r="M11" s="19"/>
      <c r="N11" s="14"/>
      <c r="O11" s="6" t="s">
        <v>24</v>
      </c>
      <c r="P11">
        <v>0</v>
      </c>
    </row>
    <row r="12" spans="1:27">
      <c r="A12" s="1" t="s">
        <v>25</v>
      </c>
      <c r="B12" s="2">
        <v>613421.9</v>
      </c>
      <c r="C12" s="2">
        <v>588144.19</v>
      </c>
      <c r="D12" s="7">
        <v>585261.85</v>
      </c>
      <c r="E12" s="7">
        <v>581785.25</v>
      </c>
      <c r="F12" s="7">
        <v>582983.34</v>
      </c>
      <c r="G12" s="7">
        <v>585355.82</v>
      </c>
      <c r="H12" s="7">
        <v>583075.27</v>
      </c>
      <c r="I12" s="7">
        <v>593728.6</v>
      </c>
      <c r="J12" s="7">
        <v>588566.12</v>
      </c>
      <c r="K12" s="7">
        <v>616341.02</v>
      </c>
      <c r="L12" s="7">
        <v>582758.96</v>
      </c>
      <c r="M12" s="12">
        <v>618490.16</v>
      </c>
      <c r="N12" s="14"/>
      <c r="O12" s="6" t="s">
        <v>25</v>
      </c>
      <c r="P12" t="s">
        <v>26</v>
      </c>
    </row>
    <row r="13" spans="1:27">
      <c r="A13" s="1" t="s">
        <v>27</v>
      </c>
      <c r="B13" s="2">
        <v>8016981</v>
      </c>
      <c r="C13" s="2">
        <v>8245634</v>
      </c>
      <c r="D13" s="7">
        <v>8268289</v>
      </c>
      <c r="E13" s="7">
        <v>7972161</v>
      </c>
      <c r="F13" s="7">
        <v>8025040</v>
      </c>
      <c r="G13" s="7">
        <v>8356249</v>
      </c>
      <c r="H13" s="7">
        <v>8435170</v>
      </c>
      <c r="I13" s="7">
        <v>8220262</v>
      </c>
      <c r="J13" s="7">
        <v>8300235</v>
      </c>
      <c r="K13" s="7">
        <v>8443753</v>
      </c>
      <c r="L13" s="7">
        <v>8464452</v>
      </c>
      <c r="M13" s="12">
        <v>8386955</v>
      </c>
      <c r="N13" s="14"/>
      <c r="O13" s="6" t="s">
        <v>27</v>
      </c>
      <c r="P13" s="2">
        <v>8622033</v>
      </c>
      <c r="Q13" s="13">
        <v>9211281</v>
      </c>
    </row>
    <row r="14" spans="1:27">
      <c r="A14" s="1" t="s">
        <v>28</v>
      </c>
      <c r="B14" s="2">
        <v>748.417</v>
      </c>
      <c r="C14">
        <v>764.014</v>
      </c>
      <c r="D14" s="3">
        <v>745.209</v>
      </c>
      <c r="E14" s="3">
        <v>706.789</v>
      </c>
      <c r="F14" s="3">
        <v>674.545</v>
      </c>
      <c r="G14" s="3">
        <v>671.838</v>
      </c>
      <c r="H14" s="3">
        <v>662.604</v>
      </c>
      <c r="I14" s="3">
        <v>658.135</v>
      </c>
      <c r="J14" s="3">
        <v>715.142</v>
      </c>
      <c r="K14" s="3">
        <v>720.846</v>
      </c>
      <c r="L14" s="3">
        <v>720.046</v>
      </c>
      <c r="M14" s="12">
        <v>782241</v>
      </c>
      <c r="N14" s="14"/>
      <c r="O14" s="6" t="s">
        <v>28</v>
      </c>
      <c r="P14">
        <v>791.741</v>
      </c>
      <c r="Q14" s="2">
        <v>795057</v>
      </c>
    </row>
    <row r="15" spans="1:27">
      <c r="A15" s="1" t="s">
        <v>29</v>
      </c>
      <c r="B15" s="2">
        <v>784012</v>
      </c>
      <c r="C15" s="2">
        <v>754285</v>
      </c>
      <c r="D15" s="7">
        <v>760020</v>
      </c>
      <c r="E15" s="7">
        <v>758118</v>
      </c>
      <c r="F15" s="7">
        <v>786525</v>
      </c>
      <c r="G15" s="3">
        <v>793.546</v>
      </c>
      <c r="H15" s="7">
        <v>797817</v>
      </c>
      <c r="I15" s="7">
        <v>809567</v>
      </c>
      <c r="J15" s="7">
        <v>799764</v>
      </c>
      <c r="K15" s="3">
        <v>788.925</v>
      </c>
      <c r="L15" s="7">
        <v>776393</v>
      </c>
      <c r="M15" s="12">
        <v>768364</v>
      </c>
      <c r="N15" s="14"/>
      <c r="O15" s="6" t="s">
        <v>29</v>
      </c>
      <c r="P15" s="2">
        <v>796320</v>
      </c>
      <c r="Q15" s="1">
        <v>808914</v>
      </c>
    </row>
    <row r="16" spans="1:27">
      <c r="A16" s="1" t="s">
        <v>30</v>
      </c>
      <c r="B16" s="2">
        <v>15825111.21</v>
      </c>
      <c r="C16" s="2">
        <v>15548010.19</v>
      </c>
      <c r="D16" s="7">
        <v>15633305.06</v>
      </c>
      <c r="E16" s="7">
        <v>16024293.25</v>
      </c>
      <c r="F16" s="7">
        <v>16065221.46</v>
      </c>
      <c r="G16" s="7">
        <v>15894857.3</v>
      </c>
      <c r="H16" s="7">
        <v>15936152.82</v>
      </c>
      <c r="I16" s="7">
        <v>16451242.33</v>
      </c>
      <c r="J16" s="7">
        <v>16596690.32</v>
      </c>
      <c r="K16" s="7">
        <v>16578424.5</v>
      </c>
      <c r="L16" s="7">
        <v>16608180.72</v>
      </c>
      <c r="M16" s="12">
        <v>17308605.35</v>
      </c>
      <c r="N16" s="14"/>
      <c r="O16" s="6" t="s">
        <v>30</v>
      </c>
      <c r="P16" s="2">
        <v>17550022.38</v>
      </c>
      <c r="Q16" s="13">
        <v>17879380.27</v>
      </c>
    </row>
    <row r="17" spans="1:27">
      <c r="A17" s="1" t="s">
        <v>31</v>
      </c>
      <c r="B17" s="2">
        <v>3460048</v>
      </c>
      <c r="C17" s="2">
        <v>3453937</v>
      </c>
      <c r="D17" s="7">
        <v>3487287</v>
      </c>
      <c r="E17" s="7">
        <v>3562203</v>
      </c>
      <c r="F17" s="7">
        <v>3572742</v>
      </c>
      <c r="G17" s="7">
        <v>3574831</v>
      </c>
      <c r="H17" s="7">
        <v>3580903</v>
      </c>
      <c r="I17" s="7">
        <v>3522022</v>
      </c>
      <c r="J17" s="7">
        <v>3624925</v>
      </c>
      <c r="K17" s="7">
        <v>3689837</v>
      </c>
      <c r="L17" s="7">
        <v>3629639</v>
      </c>
      <c r="M17" s="12">
        <v>3739193</v>
      </c>
      <c r="N17" s="14"/>
      <c r="O17" s="6" t="s">
        <v>31</v>
      </c>
      <c r="P17" s="2">
        <v>3806833</v>
      </c>
      <c r="Q17" s="2">
        <v>3758736</v>
      </c>
    </row>
    <row r="18" spans="1:27">
      <c r="A18" s="1" t="s">
        <v>32</v>
      </c>
      <c r="B18" s="2">
        <v>882378</v>
      </c>
      <c r="C18" s="2">
        <v>791688</v>
      </c>
      <c r="D18" s="3">
        <v>830020</v>
      </c>
      <c r="E18" s="3">
        <v>849.208</v>
      </c>
      <c r="F18" s="3">
        <v>719.089</v>
      </c>
      <c r="G18" s="3">
        <v>708.235</v>
      </c>
      <c r="H18" s="7">
        <v>685779</v>
      </c>
      <c r="I18" s="7">
        <v>691399</v>
      </c>
      <c r="J18" s="7">
        <v>707443</v>
      </c>
      <c r="K18" s="7">
        <v>672326</v>
      </c>
      <c r="L18" s="7">
        <v>783689</v>
      </c>
      <c r="M18" s="12">
        <v>843195</v>
      </c>
      <c r="N18" s="14"/>
      <c r="O18" s="6" t="s">
        <v>32</v>
      </c>
      <c r="P18" s="2">
        <v>839753</v>
      </c>
      <c r="Q18" s="2">
        <v>800137</v>
      </c>
    </row>
    <row r="19" spans="1:27">
      <c r="A19" s="1" t="s">
        <v>33</v>
      </c>
      <c r="B19" s="2">
        <v>1000827.89</v>
      </c>
      <c r="C19" s="2">
        <v>102851066</v>
      </c>
      <c r="D19" s="7">
        <v>1203774.64</v>
      </c>
      <c r="E19" s="7">
        <v>1463447.24</v>
      </c>
      <c r="F19" s="3" t="s">
        <v>34</v>
      </c>
      <c r="G19" s="3" t="s">
        <v>35</v>
      </c>
      <c r="H19" s="7">
        <v>1432878.47</v>
      </c>
      <c r="I19" s="3" t="s">
        <v>36</v>
      </c>
      <c r="J19" s="3" t="s">
        <v>37</v>
      </c>
      <c r="K19" s="3" t="s">
        <v>38</v>
      </c>
      <c r="L19" s="7" t="s">
        <v>39</v>
      </c>
      <c r="M19" s="12">
        <v>1136860.08</v>
      </c>
      <c r="N19" s="14"/>
      <c r="O19" s="6" t="s">
        <v>33</v>
      </c>
      <c r="P19" s="2">
        <v>1148371.73</v>
      </c>
      <c r="Q19" s="2">
        <v>1165390.74</v>
      </c>
    </row>
    <row r="20" spans="1:27">
      <c r="A20" s="1" t="s">
        <v>40</v>
      </c>
      <c r="B20" s="2">
        <v>576209</v>
      </c>
      <c r="C20" s="2">
        <v>587633</v>
      </c>
      <c r="D20" s="3">
        <v>614.598</v>
      </c>
      <c r="E20" s="3">
        <v>623.891</v>
      </c>
      <c r="F20" s="3">
        <v>668.626</v>
      </c>
      <c r="G20" s="3">
        <v>693.406</v>
      </c>
      <c r="H20" s="3">
        <v>731.506</v>
      </c>
      <c r="I20" s="7">
        <v>767245</v>
      </c>
      <c r="J20" s="7">
        <v>918878</v>
      </c>
      <c r="K20" s="3">
        <v>0</v>
      </c>
      <c r="L20" s="7">
        <v>930775</v>
      </c>
      <c r="M20" s="12">
        <v>1041489</v>
      </c>
      <c r="N20" s="14"/>
      <c r="O20" s="6" t="s">
        <v>40</v>
      </c>
      <c r="P20" t="s">
        <v>41</v>
      </c>
    </row>
    <row r="21" spans="1:27">
      <c r="A21" s="1" t="s">
        <v>42</v>
      </c>
      <c r="B21" s="2">
        <v>1298490</v>
      </c>
      <c r="C21" s="2">
        <v>1316092</v>
      </c>
      <c r="D21" s="3">
        <v>1306043</v>
      </c>
      <c r="E21" s="3">
        <v>1300684</v>
      </c>
      <c r="F21" s="3">
        <v>1304947</v>
      </c>
      <c r="G21" s="3">
        <v>1325743</v>
      </c>
      <c r="H21" s="3">
        <v>1334695</v>
      </c>
      <c r="I21" s="3">
        <v>1344604</v>
      </c>
      <c r="J21" s="3">
        <v>1367623</v>
      </c>
      <c r="K21" s="3">
        <v>1380510</v>
      </c>
      <c r="L21" s="3">
        <v>1402458</v>
      </c>
      <c r="M21" s="12">
        <v>1445940</v>
      </c>
      <c r="N21" s="14"/>
      <c r="O21" s="6" t="s">
        <v>42</v>
      </c>
      <c r="P21">
        <v>1465848</v>
      </c>
      <c r="Q21" s="2">
        <v>1470341</v>
      </c>
    </row>
    <row r="22" spans="1:27">
      <c r="A22" s="1" t="s">
        <v>43</v>
      </c>
      <c r="B22" s="2">
        <v>579700</v>
      </c>
      <c r="C22" s="2">
        <v>598913</v>
      </c>
      <c r="D22" s="7">
        <v>604619</v>
      </c>
      <c r="E22" s="7">
        <v>657268</v>
      </c>
      <c r="F22" s="7">
        <v>607727</v>
      </c>
      <c r="G22" s="7">
        <v>612160</v>
      </c>
      <c r="H22" s="7">
        <v>605047</v>
      </c>
      <c r="I22" s="7">
        <v>638577</v>
      </c>
      <c r="J22" s="7">
        <v>670063</v>
      </c>
      <c r="K22" s="7">
        <v>729670</v>
      </c>
      <c r="L22" s="7">
        <v>686530</v>
      </c>
      <c r="M22" s="12">
        <v>694766</v>
      </c>
      <c r="N22" s="14"/>
      <c r="O22" s="6" t="s">
        <v>43</v>
      </c>
      <c r="P22" s="2">
        <v>716375</v>
      </c>
      <c r="Q22" s="2">
        <v>704597</v>
      </c>
    </row>
    <row r="23" spans="1:27">
      <c r="A23" s="1" t="s">
        <v>44</v>
      </c>
      <c r="B23" s="2">
        <v>897789</v>
      </c>
      <c r="C23" s="2">
        <v>859553</v>
      </c>
      <c r="D23" s="7">
        <v>1136250</v>
      </c>
      <c r="E23" s="7">
        <v>1078468</v>
      </c>
      <c r="F23" s="7">
        <v>1054954</v>
      </c>
      <c r="G23" s="7">
        <v>972849</v>
      </c>
      <c r="H23" s="7">
        <v>926932</v>
      </c>
      <c r="I23" s="7">
        <v>886911</v>
      </c>
      <c r="J23" s="7">
        <v>851036</v>
      </c>
      <c r="K23" s="7">
        <v>771498</v>
      </c>
      <c r="L23" s="7">
        <v>742058</v>
      </c>
      <c r="M23" s="12">
        <v>724735</v>
      </c>
      <c r="N23" s="14"/>
      <c r="O23" s="6" t="s">
        <v>44</v>
      </c>
      <c r="P23" s="2">
        <v>1169483</v>
      </c>
      <c r="Q23" s="2">
        <v>1500643</v>
      </c>
    </row>
    <row r="24" spans="1:27">
      <c r="A24" s="1" t="s">
        <v>45</v>
      </c>
      <c r="B24" s="2">
        <v>4268168</v>
      </c>
      <c r="C24" s="2">
        <v>4234424</v>
      </c>
      <c r="D24" s="3" t="s">
        <v>46</v>
      </c>
      <c r="E24" s="3" t="s">
        <v>47</v>
      </c>
      <c r="F24" s="3" t="s">
        <v>48</v>
      </c>
      <c r="G24" s="3" t="s">
        <v>49</v>
      </c>
      <c r="H24" s="7">
        <v>4568891</v>
      </c>
      <c r="I24" s="7">
        <v>4522825</v>
      </c>
      <c r="J24" s="3" t="s">
        <v>50</v>
      </c>
      <c r="K24" s="7">
        <v>4743769</v>
      </c>
      <c r="L24" s="7">
        <v>4876577</v>
      </c>
      <c r="M24" s="12">
        <v>5059346</v>
      </c>
      <c r="N24" s="14"/>
      <c r="O24" s="6" t="s">
        <v>45</v>
      </c>
      <c r="P24" s="2">
        <v>5035845</v>
      </c>
    </row>
    <row r="25" spans="1:27">
      <c r="A25" s="1" t="s">
        <v>51</v>
      </c>
      <c r="B25" s="2">
        <v>554866</v>
      </c>
      <c r="C25" s="2">
        <v>595119</v>
      </c>
      <c r="D25" s="3">
        <v>589550</v>
      </c>
      <c r="E25" s="3">
        <v>623.681</v>
      </c>
      <c r="F25" s="3">
        <v>612.364</v>
      </c>
      <c r="G25" s="3">
        <v>602.308</v>
      </c>
      <c r="H25" s="3">
        <v>606.913</v>
      </c>
      <c r="I25" s="3">
        <v>598582</v>
      </c>
      <c r="J25" s="3">
        <v>603.764</v>
      </c>
      <c r="K25" s="3">
        <v>599.878</v>
      </c>
      <c r="L25" s="3">
        <v>591.442</v>
      </c>
      <c r="M25" s="12">
        <v>597652</v>
      </c>
      <c r="N25" s="14"/>
      <c r="O25" s="6" t="s">
        <v>51</v>
      </c>
      <c r="P25" s="2">
        <v>553598</v>
      </c>
      <c r="Q25" s="2">
        <v>581039</v>
      </c>
    </row>
    <row r="26" spans="1:27">
      <c r="A26" s="1" t="s">
        <v>52</v>
      </c>
      <c r="B26" s="2">
        <v>18395028</v>
      </c>
      <c r="C26" s="2">
        <v>18301726</v>
      </c>
      <c r="D26" s="3">
        <v>18220003</v>
      </c>
      <c r="E26" s="3">
        <v>18081279</v>
      </c>
      <c r="F26" s="3">
        <v>16910659</v>
      </c>
      <c r="G26" s="3">
        <v>16814413</v>
      </c>
      <c r="H26" s="3">
        <v>17344238</v>
      </c>
      <c r="I26" s="3">
        <v>17764830</v>
      </c>
      <c r="J26" s="3">
        <v>17789254</v>
      </c>
      <c r="K26" s="3">
        <v>17063118</v>
      </c>
      <c r="L26" s="3">
        <v>18119169</v>
      </c>
      <c r="M26" s="12">
        <v>18861446</v>
      </c>
      <c r="N26" s="14"/>
      <c r="O26" s="6" t="s">
        <v>52</v>
      </c>
      <c r="P26" s="2">
        <v>18658255</v>
      </c>
      <c r="Q26" s="13">
        <v>18822819</v>
      </c>
    </row>
    <row r="27" spans="1:27">
      <c r="A27" s="15" t="s">
        <v>53</v>
      </c>
      <c r="B27" s="16" t="s">
        <v>54</v>
      </c>
      <c r="C27" s="17"/>
      <c r="D27" s="18"/>
      <c r="E27" s="18"/>
      <c r="F27" s="18"/>
      <c r="G27" s="18"/>
      <c r="H27" s="18"/>
      <c r="I27" s="18"/>
      <c r="J27" s="18"/>
      <c r="K27" s="18"/>
      <c r="L27" s="18"/>
      <c r="M27" s="19"/>
      <c r="N27" s="14"/>
      <c r="O27" s="20" t="s">
        <v>53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>
      <c r="A28" s="1" t="s">
        <v>55</v>
      </c>
      <c r="B28" s="2">
        <v>14692815</v>
      </c>
      <c r="C28" s="2">
        <v>14427542</v>
      </c>
      <c r="D28" s="3" t="s">
        <v>56</v>
      </c>
      <c r="E28" s="3" t="s">
        <v>57</v>
      </c>
      <c r="F28" s="3" t="s">
        <v>58</v>
      </c>
      <c r="G28" s="3" t="s">
        <v>59</v>
      </c>
      <c r="H28" s="3" t="s">
        <v>60</v>
      </c>
      <c r="I28" s="3" t="s">
        <v>61</v>
      </c>
      <c r="J28" s="3" t="s">
        <v>62</v>
      </c>
      <c r="K28" s="3" t="s">
        <v>63</v>
      </c>
      <c r="L28" s="3" t="s">
        <v>64</v>
      </c>
      <c r="M28" s="12">
        <v>15158956</v>
      </c>
      <c r="N28" s="14"/>
      <c r="O28" s="6" t="s">
        <v>55</v>
      </c>
      <c r="P28" s="2">
        <v>15442807</v>
      </c>
      <c r="Q28" s="13">
        <v>15519841</v>
      </c>
    </row>
    <row r="29" spans="1:27">
      <c r="A29" s="1" t="s">
        <v>65</v>
      </c>
      <c r="B29" s="2">
        <v>1839439</v>
      </c>
      <c r="C29" s="2">
        <v>1825924</v>
      </c>
      <c r="D29" s="7">
        <v>1937562</v>
      </c>
      <c r="E29" s="7">
        <v>1952228</v>
      </c>
      <c r="F29" s="7">
        <v>1932488</v>
      </c>
      <c r="G29" s="7">
        <v>1960034</v>
      </c>
      <c r="H29" s="7">
        <v>2089678</v>
      </c>
      <c r="I29" s="7">
        <v>2004004</v>
      </c>
      <c r="J29" s="7">
        <v>2012668</v>
      </c>
      <c r="K29" s="7">
        <v>2010621</v>
      </c>
      <c r="L29" s="7">
        <v>2022179</v>
      </c>
      <c r="M29" s="12">
        <v>2205456</v>
      </c>
      <c r="N29" s="14"/>
      <c r="O29" s="6" t="s">
        <v>65</v>
      </c>
      <c r="P29" s="2">
        <v>2223450</v>
      </c>
      <c r="Q29" s="2">
        <v>2278044</v>
      </c>
    </row>
    <row r="30" spans="1:27">
      <c r="A30" s="1" t="s">
        <v>66</v>
      </c>
      <c r="B30" s="2">
        <v>810957</v>
      </c>
      <c r="C30" s="2">
        <v>844535</v>
      </c>
      <c r="D30" s="7">
        <v>908375</v>
      </c>
      <c r="E30" s="7">
        <v>922342</v>
      </c>
      <c r="F30" s="7">
        <v>979173</v>
      </c>
      <c r="G30" s="7">
        <v>1003969</v>
      </c>
      <c r="H30" s="7">
        <v>1067943</v>
      </c>
      <c r="I30" s="7">
        <v>1068949</v>
      </c>
      <c r="J30" s="7">
        <v>1122494</v>
      </c>
      <c r="K30" s="7">
        <v>1167586</v>
      </c>
      <c r="L30" s="7">
        <v>1259310</v>
      </c>
      <c r="M30" s="12">
        <v>1294713</v>
      </c>
      <c r="N30" s="14"/>
      <c r="O30" s="6" t="s">
        <v>66</v>
      </c>
      <c r="P30" s="2">
        <v>1332698</v>
      </c>
      <c r="Q30" s="2">
        <v>1421368</v>
      </c>
    </row>
    <row r="31" spans="1:27">
      <c r="A31" s="1" t="s">
        <v>67</v>
      </c>
      <c r="B31" s="2">
        <v>1042180</v>
      </c>
      <c r="C31" s="2">
        <v>1142344</v>
      </c>
      <c r="D31" s="7">
        <v>1184338</v>
      </c>
      <c r="E31" s="7">
        <v>1135122</v>
      </c>
      <c r="F31" s="7">
        <v>1274469</v>
      </c>
      <c r="G31" s="7">
        <v>1187411</v>
      </c>
      <c r="H31" s="7">
        <v>1145921</v>
      </c>
      <c r="I31" s="7">
        <v>1172791</v>
      </c>
      <c r="J31" s="7">
        <v>1427236</v>
      </c>
      <c r="K31" s="7">
        <v>1350625</v>
      </c>
      <c r="L31" s="7">
        <v>1213446</v>
      </c>
      <c r="M31" s="12">
        <v>1258534</v>
      </c>
      <c r="N31" s="14"/>
      <c r="O31" s="6" t="s">
        <v>67</v>
      </c>
      <c r="P31" s="2">
        <v>1187106</v>
      </c>
      <c r="Q31" s="2">
        <v>1089490</v>
      </c>
    </row>
    <row r="32" spans="1:27">
      <c r="A32" s="1" t="s">
        <v>68</v>
      </c>
      <c r="B32" s="2">
        <v>545682</v>
      </c>
      <c r="C32" s="2">
        <v>548735</v>
      </c>
      <c r="D32" s="7">
        <v>551322</v>
      </c>
      <c r="E32" s="7">
        <v>548029</v>
      </c>
      <c r="F32" s="7">
        <v>553649</v>
      </c>
      <c r="G32" s="7">
        <v>547372</v>
      </c>
      <c r="H32" s="7">
        <v>552589</v>
      </c>
      <c r="I32" s="7">
        <v>554103</v>
      </c>
      <c r="J32" s="7">
        <v>554738</v>
      </c>
      <c r="K32" s="7">
        <v>562852</v>
      </c>
      <c r="L32" s="7">
        <v>565202</v>
      </c>
      <c r="M32" s="12">
        <v>568076</v>
      </c>
      <c r="N32" s="14"/>
      <c r="O32" s="6" t="s">
        <v>68</v>
      </c>
      <c r="P32" s="2">
        <v>575623</v>
      </c>
      <c r="Q32" s="2">
        <v>576867</v>
      </c>
    </row>
    <row r="33" spans="1:27">
      <c r="A33" s="1" t="s">
        <v>69</v>
      </c>
      <c r="B33" s="2">
        <v>2337178</v>
      </c>
      <c r="C33" s="2">
        <v>2279634</v>
      </c>
      <c r="D33" s="7">
        <v>2351448</v>
      </c>
      <c r="E33" s="7">
        <v>2327414</v>
      </c>
      <c r="F33" s="7">
        <v>2242064</v>
      </c>
      <c r="G33" s="7">
        <v>2249902</v>
      </c>
      <c r="H33" s="7">
        <v>2272587</v>
      </c>
      <c r="I33" s="7">
        <v>2244461</v>
      </c>
      <c r="J33" s="7">
        <v>2285749</v>
      </c>
      <c r="K33" s="7">
        <v>2311163</v>
      </c>
      <c r="L33" s="7">
        <v>2347075</v>
      </c>
      <c r="M33" s="12">
        <v>2330199</v>
      </c>
      <c r="N33" s="14"/>
      <c r="O33" s="6" t="s">
        <v>69</v>
      </c>
      <c r="P33" s="2">
        <v>2375994</v>
      </c>
      <c r="Q33" s="2">
        <v>2388234</v>
      </c>
    </row>
    <row r="34" spans="1:27">
      <c r="A34" s="1" t="s">
        <v>70</v>
      </c>
      <c r="B34" s="2">
        <v>240541</v>
      </c>
      <c r="C34" s="2">
        <v>242745</v>
      </c>
      <c r="D34" s="7">
        <v>244500</v>
      </c>
      <c r="E34" s="3">
        <v>244.231</v>
      </c>
      <c r="F34" s="3">
        <v>236.609</v>
      </c>
      <c r="G34" s="3">
        <v>237.703</v>
      </c>
      <c r="H34" s="3">
        <v>238.221</v>
      </c>
      <c r="I34" s="3">
        <v>233.068</v>
      </c>
      <c r="J34" s="3">
        <v>238.753</v>
      </c>
      <c r="K34" s="3">
        <v>240.386</v>
      </c>
      <c r="L34" s="3">
        <v>242.696</v>
      </c>
      <c r="M34" s="12">
        <v>256224</v>
      </c>
      <c r="N34" s="14"/>
      <c r="O34" s="6" t="s">
        <v>70</v>
      </c>
      <c r="P34" s="2">
        <v>256445</v>
      </c>
      <c r="Q34" s="2">
        <v>266532</v>
      </c>
    </row>
    <row r="35" spans="1:27">
      <c r="A35" s="1" t="s">
        <v>71</v>
      </c>
      <c r="B35" s="2">
        <v>872646.02</v>
      </c>
      <c r="C35" s="2">
        <v>870156.6</v>
      </c>
      <c r="D35" s="7">
        <v>843540.46</v>
      </c>
      <c r="E35" s="7">
        <v>969719.46</v>
      </c>
      <c r="F35" s="7">
        <v>942925.54</v>
      </c>
      <c r="G35" s="7">
        <v>936609.6</v>
      </c>
      <c r="H35" s="7">
        <v>902018.89</v>
      </c>
      <c r="I35" s="7">
        <v>928310.43</v>
      </c>
      <c r="J35" s="7">
        <v>940083.61</v>
      </c>
      <c r="K35" s="7">
        <v>912100.47</v>
      </c>
      <c r="L35" s="7">
        <v>906266.99</v>
      </c>
      <c r="M35" s="12">
        <v>880769</v>
      </c>
      <c r="N35" s="14"/>
      <c r="O35" s="6" t="s">
        <v>71</v>
      </c>
      <c r="P35" s="2">
        <v>919611.91</v>
      </c>
      <c r="Q35" s="2">
        <v>903134.1</v>
      </c>
    </row>
    <row r="36" spans="1:27">
      <c r="A36" s="1" t="s">
        <v>72</v>
      </c>
      <c r="B36" s="2">
        <v>295644</v>
      </c>
      <c r="C36" s="2">
        <v>312301</v>
      </c>
      <c r="D36" s="7">
        <v>305550</v>
      </c>
      <c r="E36" s="7">
        <v>310104</v>
      </c>
      <c r="F36" s="7">
        <v>306508</v>
      </c>
      <c r="G36" s="7">
        <v>312027</v>
      </c>
      <c r="H36" s="7">
        <v>325941</v>
      </c>
      <c r="I36" s="7">
        <v>315790</v>
      </c>
      <c r="J36" s="7">
        <v>342560</v>
      </c>
      <c r="K36" s="7">
        <v>316377</v>
      </c>
      <c r="L36" s="7">
        <v>347057</v>
      </c>
      <c r="M36" s="12">
        <v>353799</v>
      </c>
      <c r="N36" s="14"/>
      <c r="O36" s="6" t="s">
        <v>72</v>
      </c>
      <c r="P36" s="2">
        <v>402832</v>
      </c>
      <c r="Q36" s="2">
        <v>365874</v>
      </c>
    </row>
    <row r="37" spans="1:27">
      <c r="A37" s="1" t="s">
        <v>73</v>
      </c>
      <c r="B37" s="2">
        <v>13268986</v>
      </c>
      <c r="C37" s="2">
        <v>14599773</v>
      </c>
      <c r="D37" s="3" t="s">
        <v>74</v>
      </c>
      <c r="E37" s="3" t="s">
        <v>75</v>
      </c>
      <c r="F37" s="3" t="s">
        <v>76</v>
      </c>
      <c r="G37" s="3" t="s">
        <v>77</v>
      </c>
      <c r="H37" s="3" t="s">
        <v>78</v>
      </c>
      <c r="I37" s="7">
        <v>13007703</v>
      </c>
      <c r="J37" s="3" t="s">
        <v>79</v>
      </c>
      <c r="K37" s="3" t="s">
        <v>80</v>
      </c>
      <c r="L37" s="3" t="s">
        <v>81</v>
      </c>
      <c r="M37" s="12">
        <v>12697517</v>
      </c>
      <c r="N37" s="14"/>
      <c r="O37" s="6" t="s">
        <v>73</v>
      </c>
      <c r="P37" s="2">
        <v>15437434</v>
      </c>
      <c r="Q37" s="13">
        <v>15482815</v>
      </c>
    </row>
    <row r="38" spans="1:27">
      <c r="A38" s="1" t="s">
        <v>82</v>
      </c>
      <c r="B38" s="2">
        <v>653753</v>
      </c>
      <c r="C38" s="2">
        <v>657128</v>
      </c>
      <c r="D38" s="3">
        <v>661.665</v>
      </c>
      <c r="E38" s="3">
        <v>664.204</v>
      </c>
      <c r="F38" s="3">
        <v>677.906</v>
      </c>
      <c r="G38" s="3">
        <v>688.505</v>
      </c>
      <c r="H38" s="3">
        <v>697.495</v>
      </c>
      <c r="I38" s="3">
        <v>713.428</v>
      </c>
      <c r="J38" s="3">
        <v>726.606</v>
      </c>
      <c r="K38" s="3">
        <v>736.397</v>
      </c>
      <c r="L38" s="3">
        <v>749.767</v>
      </c>
      <c r="M38" s="12">
        <v>761790</v>
      </c>
      <c r="N38" s="14"/>
      <c r="O38" s="6" t="s">
        <v>82</v>
      </c>
      <c r="P38" s="2">
        <v>770922</v>
      </c>
      <c r="Q38" s="2">
        <v>785142</v>
      </c>
    </row>
    <row r="39" spans="1:27">
      <c r="A39" s="1" t="s">
        <v>83</v>
      </c>
      <c r="B39" s="2">
        <v>448419</v>
      </c>
      <c r="C39" s="2">
        <v>509175</v>
      </c>
      <c r="D39" s="3">
        <v>509.647</v>
      </c>
      <c r="E39" s="3">
        <v>514.365</v>
      </c>
      <c r="F39" s="3">
        <v>538.355</v>
      </c>
      <c r="G39" s="3">
        <v>541.486</v>
      </c>
      <c r="H39" s="7">
        <v>570181</v>
      </c>
      <c r="I39" s="7">
        <v>640510</v>
      </c>
      <c r="J39" s="3">
        <v>635.312</v>
      </c>
      <c r="K39" s="7">
        <v>624593</v>
      </c>
      <c r="L39" s="7">
        <v>630769</v>
      </c>
      <c r="M39" s="12">
        <v>636945</v>
      </c>
      <c r="N39" s="14"/>
      <c r="O39" s="6" t="s">
        <v>83</v>
      </c>
      <c r="P39" s="2">
        <v>615775</v>
      </c>
      <c r="Q39" s="2">
        <v>633569</v>
      </c>
    </row>
    <row r="40" spans="1:27">
      <c r="A40" s="1" t="s">
        <v>84</v>
      </c>
      <c r="B40" s="2">
        <v>3831845</v>
      </c>
      <c r="C40" s="2">
        <v>3902143</v>
      </c>
      <c r="D40" s="7">
        <v>3924509</v>
      </c>
      <c r="E40" s="7">
        <v>3950058</v>
      </c>
      <c r="F40" s="7">
        <v>4025455</v>
      </c>
      <c r="G40" s="7">
        <v>4075432</v>
      </c>
      <c r="H40" s="7">
        <v>4164145</v>
      </c>
      <c r="I40" s="7">
        <v>4222810</v>
      </c>
      <c r="J40" s="7">
        <v>4221966</v>
      </c>
      <c r="K40" s="7">
        <v>4310412</v>
      </c>
      <c r="L40" s="7">
        <v>4381342</v>
      </c>
      <c r="M40" s="12">
        <v>4656875</v>
      </c>
      <c r="N40" s="14"/>
      <c r="O40" s="6" t="s">
        <v>84</v>
      </c>
      <c r="P40" s="2">
        <v>4621019</v>
      </c>
      <c r="Q40" s="2">
        <v>4424555</v>
      </c>
    </row>
    <row r="41" spans="1:27">
      <c r="A41" s="1" t="s">
        <v>85</v>
      </c>
      <c r="B41" s="2">
        <v>6170506</v>
      </c>
      <c r="C41" s="2">
        <v>6083725</v>
      </c>
      <c r="D41" s="7">
        <v>5861725</v>
      </c>
      <c r="E41" s="7">
        <v>5578527</v>
      </c>
      <c r="F41" s="7">
        <v>5438754</v>
      </c>
      <c r="G41" s="7">
        <v>5023804</v>
      </c>
      <c r="H41" s="7">
        <v>5130947</v>
      </c>
      <c r="I41" s="7">
        <v>4832684</v>
      </c>
      <c r="J41" s="7">
        <v>4878376</v>
      </c>
      <c r="K41" s="7">
        <v>3004363</v>
      </c>
      <c r="L41" s="3" t="s">
        <v>86</v>
      </c>
      <c r="M41" s="4" t="s">
        <v>87</v>
      </c>
      <c r="N41" s="14"/>
      <c r="O41" s="6" t="s">
        <v>85</v>
      </c>
      <c r="Q41" s="2">
        <v>3089536</v>
      </c>
    </row>
    <row r="42" spans="1:27">
      <c r="A42" s="1" t="s">
        <v>88</v>
      </c>
      <c r="B42" s="2">
        <v>166411.75</v>
      </c>
      <c r="C42" s="2">
        <v>170785.46</v>
      </c>
      <c r="D42" s="7">
        <v>175.39401</v>
      </c>
      <c r="E42" s="7">
        <v>187808.33</v>
      </c>
      <c r="F42" s="7">
        <v>191962.7</v>
      </c>
      <c r="G42" s="7">
        <v>195101.54</v>
      </c>
      <c r="H42" s="7">
        <v>199941.57</v>
      </c>
      <c r="I42" s="7">
        <v>203608.51</v>
      </c>
      <c r="J42" s="7">
        <v>205712.76</v>
      </c>
      <c r="K42" s="7">
        <v>224651.83</v>
      </c>
      <c r="L42" s="7">
        <v>225546.64</v>
      </c>
      <c r="M42" s="12">
        <v>230924</v>
      </c>
      <c r="N42" s="14"/>
      <c r="O42" s="6" t="s">
        <v>88</v>
      </c>
      <c r="P42" s="2">
        <v>238019.59</v>
      </c>
      <c r="Q42" s="2">
        <v>243700.94</v>
      </c>
    </row>
    <row r="43" spans="1:27">
      <c r="A43" s="1" t="s">
        <v>89</v>
      </c>
      <c r="B43" s="2">
        <v>232200</v>
      </c>
      <c r="C43" s="2">
        <v>224990</v>
      </c>
      <c r="D43" s="7">
        <v>265588</v>
      </c>
      <c r="E43" s="3">
        <v>226.385</v>
      </c>
      <c r="F43" s="7">
        <v>221448</v>
      </c>
      <c r="G43" s="7">
        <v>271090</v>
      </c>
      <c r="H43" s="3">
        <v>265.748</v>
      </c>
      <c r="I43" s="7">
        <v>334476</v>
      </c>
      <c r="J43" s="3">
        <v>332.722</v>
      </c>
      <c r="K43" s="3">
        <v>322.747</v>
      </c>
      <c r="L43" s="3">
        <v>321.794</v>
      </c>
      <c r="M43" s="12">
        <v>335675</v>
      </c>
      <c r="N43" s="14"/>
      <c r="O43" s="6" t="s">
        <v>89</v>
      </c>
      <c r="P43" s="2">
        <v>328839</v>
      </c>
      <c r="Q43" s="2">
        <v>318108</v>
      </c>
    </row>
    <row r="44" spans="1:27">
      <c r="A44" s="1" t="s">
        <v>90</v>
      </c>
      <c r="B44" s="2">
        <v>217923.33</v>
      </c>
      <c r="C44" s="2">
        <v>239349.73</v>
      </c>
      <c r="D44" s="7">
        <v>240215.98</v>
      </c>
      <c r="E44" s="7">
        <v>258032.28</v>
      </c>
      <c r="F44" s="7">
        <v>262077.4</v>
      </c>
      <c r="G44" s="7">
        <v>253706.96</v>
      </c>
      <c r="H44" s="7">
        <v>244430.84</v>
      </c>
      <c r="I44" s="7">
        <v>237915.04</v>
      </c>
      <c r="J44" s="7">
        <v>225683.44</v>
      </c>
      <c r="K44" s="7">
        <v>237059.2</v>
      </c>
      <c r="L44" s="7">
        <v>211243.78</v>
      </c>
      <c r="M44" s="12">
        <v>219072.84</v>
      </c>
      <c r="N44" s="14"/>
      <c r="O44" s="6" t="s">
        <v>90</v>
      </c>
      <c r="P44" s="2">
        <v>212377.27</v>
      </c>
    </row>
    <row r="45" spans="1:27">
      <c r="A45" s="1" t="s">
        <v>91</v>
      </c>
      <c r="B45" s="2">
        <v>5221356</v>
      </c>
      <c r="C45" s="2">
        <v>5141647</v>
      </c>
      <c r="D45" s="7">
        <v>5158869</v>
      </c>
      <c r="E45" s="3" t="s">
        <v>92</v>
      </c>
      <c r="F45" s="3" t="s">
        <v>93</v>
      </c>
      <c r="G45" s="3" t="s">
        <v>94</v>
      </c>
      <c r="H45" s="3" t="s">
        <v>95</v>
      </c>
      <c r="I45" s="3" t="s">
        <v>96</v>
      </c>
      <c r="J45" s="3" t="s">
        <v>97</v>
      </c>
      <c r="K45" s="3" t="s">
        <v>98</v>
      </c>
      <c r="L45" s="3" t="s">
        <v>99</v>
      </c>
      <c r="M45" s="12">
        <v>5257229</v>
      </c>
      <c r="N45" s="14"/>
      <c r="O45" s="6" t="s">
        <v>91</v>
      </c>
      <c r="P45" s="2">
        <v>5267485</v>
      </c>
      <c r="Q45" s="2">
        <v>5415781</v>
      </c>
    </row>
    <row r="46" spans="1:27">
      <c r="A46" s="1" t="s">
        <v>100</v>
      </c>
      <c r="B46" s="2">
        <v>2286142</v>
      </c>
      <c r="C46" s="2">
        <v>2334692</v>
      </c>
      <c r="D46" s="7">
        <v>2217676</v>
      </c>
      <c r="E46" s="7">
        <v>2337604</v>
      </c>
      <c r="F46" s="7">
        <v>2335204</v>
      </c>
      <c r="G46" s="7">
        <v>2254263</v>
      </c>
      <c r="H46" s="7">
        <v>2256419</v>
      </c>
      <c r="I46" s="7">
        <v>2278287</v>
      </c>
      <c r="J46" s="7">
        <v>2251738</v>
      </c>
      <c r="K46" s="7">
        <v>2249451</v>
      </c>
      <c r="L46" s="7">
        <v>2079569</v>
      </c>
      <c r="M46" s="12">
        <v>2079442</v>
      </c>
      <c r="N46" s="14"/>
      <c r="O46" s="6" t="s">
        <v>100</v>
      </c>
      <c r="P46" s="2">
        <v>2001575</v>
      </c>
      <c r="Q46" s="2">
        <v>2074443</v>
      </c>
    </row>
    <row r="47" spans="1:27">
      <c r="A47" s="1" t="s">
        <v>101</v>
      </c>
      <c r="B47" s="2">
        <v>1023193</v>
      </c>
      <c r="C47" s="2">
        <v>1237917</v>
      </c>
      <c r="D47" s="7">
        <v>1182434</v>
      </c>
      <c r="E47" s="7">
        <v>1287644</v>
      </c>
      <c r="F47" s="7">
        <v>1091961</v>
      </c>
      <c r="G47" s="7">
        <v>1311984</v>
      </c>
      <c r="H47" s="7">
        <v>1131063</v>
      </c>
      <c r="I47" s="7">
        <v>1072131</v>
      </c>
      <c r="J47" s="7">
        <v>851433</v>
      </c>
      <c r="K47" s="7">
        <v>793771</v>
      </c>
      <c r="L47" s="7">
        <v>784843</v>
      </c>
      <c r="M47" s="12">
        <v>1060574</v>
      </c>
      <c r="N47" s="14"/>
      <c r="O47" s="6" t="s">
        <v>101</v>
      </c>
      <c r="P47" s="2">
        <v>1047172</v>
      </c>
      <c r="Q47" s="2">
        <v>1309714</v>
      </c>
    </row>
    <row r="48" spans="1:27">
      <c r="A48" s="1" t="s">
        <v>102</v>
      </c>
      <c r="B48" s="2">
        <v>1897475</v>
      </c>
      <c r="C48" s="2">
        <v>1932720</v>
      </c>
      <c r="D48" s="7">
        <v>1987908</v>
      </c>
      <c r="E48" s="3" t="s">
        <v>103</v>
      </c>
      <c r="F48" s="3" t="s">
        <v>104</v>
      </c>
      <c r="G48" s="3" t="s">
        <v>105</v>
      </c>
      <c r="H48" s="3" t="s">
        <v>106</v>
      </c>
      <c r="I48" s="3" t="s">
        <v>107</v>
      </c>
      <c r="J48" s="7">
        <v>3459012</v>
      </c>
      <c r="K48" s="7">
        <v>3655094</v>
      </c>
      <c r="L48" s="7">
        <v>4255866</v>
      </c>
      <c r="M48" s="12">
        <v>4119867</v>
      </c>
      <c r="N48" s="14"/>
      <c r="O48" s="6" t="s">
        <v>102</v>
      </c>
      <c r="P48" s="2">
        <v>4631690</v>
      </c>
    </row>
    <row r="49" spans="1:27">
      <c r="A49" s="1" t="s">
        <v>108</v>
      </c>
      <c r="B49" s="2">
        <v>2561915.32</v>
      </c>
      <c r="C49" s="2">
        <v>2566834.5</v>
      </c>
      <c r="D49" s="7">
        <v>2557486.22</v>
      </c>
      <c r="E49" s="7">
        <v>2608215.56</v>
      </c>
      <c r="F49" s="7">
        <v>2614516.84</v>
      </c>
      <c r="G49" s="7">
        <v>2632144.7</v>
      </c>
      <c r="H49" s="7">
        <v>2649731.32</v>
      </c>
      <c r="I49" s="7">
        <v>2661250.27</v>
      </c>
      <c r="J49" s="7">
        <v>2692612.32</v>
      </c>
      <c r="K49" s="7">
        <v>2722324.9</v>
      </c>
      <c r="L49" s="7">
        <v>2626534.4</v>
      </c>
      <c r="M49" s="12">
        <v>2692938</v>
      </c>
      <c r="N49" s="14"/>
      <c r="O49" s="6" t="s">
        <v>108</v>
      </c>
      <c r="P49" s="2">
        <v>2703231.73</v>
      </c>
      <c r="Q49" s="2">
        <v>2677146.81</v>
      </c>
    </row>
    <row r="50" spans="1:27">
      <c r="A50" s="1" t="s">
        <v>109</v>
      </c>
      <c r="B50" s="2">
        <v>966595.3</v>
      </c>
      <c r="C50" s="2">
        <v>987408.21</v>
      </c>
      <c r="D50" s="7">
        <v>1003896.2</v>
      </c>
      <c r="E50" s="7">
        <v>981054.29</v>
      </c>
      <c r="F50" s="7">
        <v>971830.2</v>
      </c>
      <c r="G50" s="7">
        <v>964675.36</v>
      </c>
      <c r="H50" s="7">
        <v>1096564.78</v>
      </c>
      <c r="I50" s="7">
        <v>1014760.89</v>
      </c>
      <c r="J50" s="7">
        <v>991370.12</v>
      </c>
      <c r="K50" s="7">
        <v>968026.67</v>
      </c>
      <c r="L50" s="7">
        <v>957716.22</v>
      </c>
      <c r="M50" s="12">
        <v>958250</v>
      </c>
      <c r="N50" s="14"/>
      <c r="O50" s="6" t="s">
        <v>109</v>
      </c>
      <c r="P50" s="2">
        <v>1003161.32</v>
      </c>
      <c r="Q50" s="2">
        <v>1060222.48</v>
      </c>
    </row>
    <row r="51" spans="1:27">
      <c r="A51" s="1" t="s">
        <v>110</v>
      </c>
      <c r="B51" s="2">
        <v>664397</v>
      </c>
      <c r="C51" s="2">
        <v>684994</v>
      </c>
      <c r="D51" s="7">
        <v>626060</v>
      </c>
      <c r="E51" s="7">
        <v>608698</v>
      </c>
      <c r="F51" s="7">
        <v>596445</v>
      </c>
      <c r="G51" s="7">
        <v>558768</v>
      </c>
      <c r="H51" s="7">
        <v>549581</v>
      </c>
      <c r="I51" s="7">
        <v>561557</v>
      </c>
      <c r="J51" s="7">
        <v>594533</v>
      </c>
      <c r="K51" s="7">
        <v>575859</v>
      </c>
      <c r="L51" s="7">
        <v>610430</v>
      </c>
      <c r="M51" s="12">
        <v>837031</v>
      </c>
      <c r="N51" s="14"/>
      <c r="O51" s="6" t="s">
        <v>110</v>
      </c>
      <c r="P51" s="2">
        <v>835437</v>
      </c>
      <c r="Q51" s="2">
        <v>856251</v>
      </c>
    </row>
    <row r="52" spans="1:27">
      <c r="A52" s="1" t="s">
        <v>111</v>
      </c>
      <c r="B52" s="2">
        <v>1127700</v>
      </c>
      <c r="C52" s="2">
        <v>1211524</v>
      </c>
      <c r="D52" s="7">
        <v>1241326</v>
      </c>
      <c r="E52" s="7">
        <v>1238908</v>
      </c>
      <c r="F52" s="7">
        <v>1229342</v>
      </c>
      <c r="G52" s="7">
        <v>1181059</v>
      </c>
      <c r="H52" s="7">
        <v>1184319</v>
      </c>
      <c r="I52" s="7">
        <v>1174625</v>
      </c>
      <c r="J52" s="7">
        <v>1182171</v>
      </c>
      <c r="K52" s="7">
        <v>1082875</v>
      </c>
      <c r="L52" s="7">
        <v>1064435</v>
      </c>
      <c r="M52" s="12">
        <v>1184830</v>
      </c>
      <c r="N52" s="14"/>
      <c r="O52" s="6" t="s">
        <v>111</v>
      </c>
      <c r="P52" s="2">
        <v>1219581</v>
      </c>
      <c r="Q52" s="2">
        <v>1282542</v>
      </c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15" t="s">
        <v>112</v>
      </c>
      <c r="B53" s="16" t="s">
        <v>113</v>
      </c>
      <c r="C53" s="17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14"/>
      <c r="O53" s="20" t="s">
        <v>112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>
      <c r="A54" s="15" t="s">
        <v>114</v>
      </c>
      <c r="B54" s="16" t="s">
        <v>115</v>
      </c>
      <c r="C54" s="17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14"/>
      <c r="O54" s="20" t="s">
        <v>114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>
      <c r="A55" s="1" t="s">
        <v>116</v>
      </c>
      <c r="B55" s="2">
        <v>6130862</v>
      </c>
      <c r="C55" s="2">
        <v>6052479</v>
      </c>
      <c r="D55" s="7">
        <v>6098600</v>
      </c>
      <c r="E55" s="7">
        <v>6093736</v>
      </c>
      <c r="F55" s="7">
        <v>5854567</v>
      </c>
      <c r="G55" s="7">
        <v>5829213</v>
      </c>
      <c r="H55" s="7">
        <v>6141318</v>
      </c>
      <c r="I55" s="7">
        <v>6484717</v>
      </c>
      <c r="J55" s="7">
        <v>6540828</v>
      </c>
      <c r="K55" s="7">
        <v>6620278</v>
      </c>
      <c r="L55" s="7">
        <v>7290258</v>
      </c>
      <c r="M55" s="12">
        <v>7164796</v>
      </c>
      <c r="N55" s="14"/>
      <c r="O55" s="6" t="s">
        <v>116</v>
      </c>
      <c r="P55" s="2">
        <v>9971947</v>
      </c>
      <c r="Q55" s="13">
        <v>9964790</v>
      </c>
    </row>
    <row r="56" spans="1:27">
      <c r="A56" s="1" t="s">
        <v>117</v>
      </c>
      <c r="B56" s="2">
        <v>1666601</v>
      </c>
      <c r="C56" s="2">
        <v>1677366</v>
      </c>
      <c r="D56" s="7">
        <v>1762483</v>
      </c>
      <c r="E56" s="7">
        <v>1769077</v>
      </c>
      <c r="F56" s="7">
        <v>1761531</v>
      </c>
      <c r="G56" s="7">
        <v>1840694</v>
      </c>
      <c r="H56" s="7">
        <v>1843720</v>
      </c>
      <c r="I56" s="7">
        <v>1834684</v>
      </c>
      <c r="J56" s="7">
        <v>1900912</v>
      </c>
      <c r="K56" s="7">
        <v>1892606</v>
      </c>
      <c r="L56" s="7">
        <v>1862903</v>
      </c>
      <c r="M56" s="12">
        <v>1945984</v>
      </c>
      <c r="N56" s="14"/>
      <c r="O56" s="6" t="s">
        <v>117</v>
      </c>
      <c r="P56" s="2">
        <v>2016493</v>
      </c>
      <c r="Q56" s="2">
        <v>2010929</v>
      </c>
    </row>
    <row r="57" spans="1:27">
      <c r="A57" s="1" t="s">
        <v>118</v>
      </c>
      <c r="B57" s="2">
        <v>5655366</v>
      </c>
      <c r="C57" s="2">
        <v>5722193</v>
      </c>
      <c r="D57" s="7">
        <v>6124470</v>
      </c>
      <c r="E57" s="7">
        <v>5912244</v>
      </c>
      <c r="F57" s="7">
        <v>5667218</v>
      </c>
      <c r="G57" s="7">
        <v>5679531</v>
      </c>
      <c r="H57" s="7">
        <v>5744198</v>
      </c>
      <c r="I57" s="7">
        <v>5849221</v>
      </c>
      <c r="J57" s="7">
        <v>6093269</v>
      </c>
      <c r="K57" s="7">
        <v>6038969</v>
      </c>
      <c r="L57" s="7">
        <v>5854717</v>
      </c>
      <c r="M57" s="12">
        <v>5851013</v>
      </c>
      <c r="N57" s="14"/>
      <c r="O57" s="6" t="s">
        <v>118</v>
      </c>
      <c r="P57" s="2">
        <v>6061875</v>
      </c>
      <c r="Q57" s="13">
        <v>5930244</v>
      </c>
    </row>
    <row r="58" spans="1:27">
      <c r="A58" s="1" t="s">
        <v>119</v>
      </c>
      <c r="B58" s="2">
        <v>16288905</v>
      </c>
      <c r="C58" s="2">
        <v>17989448</v>
      </c>
      <c r="D58" s="7">
        <v>17801940</v>
      </c>
      <c r="E58" s="7">
        <v>19124748</v>
      </c>
      <c r="F58" s="7">
        <v>19602827</v>
      </c>
      <c r="G58" s="7">
        <v>21120892</v>
      </c>
      <c r="H58" s="7">
        <v>21427964</v>
      </c>
      <c r="I58" s="7">
        <v>20956465</v>
      </c>
      <c r="J58" s="7">
        <v>20430508</v>
      </c>
      <c r="K58" s="7">
        <v>20270792</v>
      </c>
      <c r="L58" s="7">
        <v>20019973</v>
      </c>
      <c r="M58" s="12">
        <v>20083344</v>
      </c>
      <c r="N58" s="14"/>
      <c r="O58" s="6" t="s">
        <v>119</v>
      </c>
      <c r="P58" s="2">
        <v>20868954</v>
      </c>
      <c r="Q58" s="13">
        <v>20188868</v>
      </c>
    </row>
    <row r="59" spans="1:27">
      <c r="A59" s="1" t="s">
        <v>120</v>
      </c>
      <c r="B59" s="2">
        <v>897511</v>
      </c>
      <c r="C59" s="2">
        <v>893625</v>
      </c>
      <c r="D59" s="7">
        <v>912780</v>
      </c>
      <c r="E59" s="7">
        <v>901677</v>
      </c>
      <c r="F59" s="7">
        <v>942140</v>
      </c>
      <c r="G59" s="7">
        <v>937923</v>
      </c>
      <c r="H59" s="7">
        <v>960961</v>
      </c>
      <c r="I59" s="7">
        <v>944157</v>
      </c>
      <c r="J59" s="7">
        <v>928408</v>
      </c>
      <c r="K59" s="7">
        <v>913700</v>
      </c>
      <c r="L59" s="7">
        <v>865934</v>
      </c>
      <c r="M59" s="12">
        <v>952696</v>
      </c>
      <c r="N59" s="14"/>
      <c r="O59" s="6" t="s">
        <v>120</v>
      </c>
      <c r="P59" s="2">
        <v>936149</v>
      </c>
      <c r="Q59" s="2">
        <v>967228</v>
      </c>
    </row>
    <row r="60" spans="1:27">
      <c r="A60" s="1" t="s">
        <v>121</v>
      </c>
      <c r="B60" s="2">
        <v>1922892</v>
      </c>
      <c r="C60" s="2">
        <v>1966487</v>
      </c>
      <c r="D60" s="7">
        <v>1945492</v>
      </c>
      <c r="E60" s="7">
        <v>1985758</v>
      </c>
      <c r="F60" s="7">
        <v>2033903</v>
      </c>
      <c r="G60" s="7">
        <v>2038549</v>
      </c>
      <c r="H60" s="7">
        <v>2031848</v>
      </c>
      <c r="I60" s="7">
        <v>2059132</v>
      </c>
      <c r="J60" s="7">
        <v>2130559</v>
      </c>
      <c r="K60" s="7">
        <v>2149065</v>
      </c>
      <c r="L60" s="7">
        <v>2054270</v>
      </c>
      <c r="M60" s="12">
        <v>2053184</v>
      </c>
      <c r="N60" s="14"/>
      <c r="O60" s="6" t="s">
        <v>121</v>
      </c>
      <c r="P60" s="2">
        <v>2070663</v>
      </c>
      <c r="Q60" s="2">
        <v>2106095</v>
      </c>
    </row>
    <row r="61" spans="1:27">
      <c r="A61" s="1" t="s">
        <v>122</v>
      </c>
      <c r="B61" s="2">
        <v>2058246</v>
      </c>
      <c r="C61" s="2">
        <v>1972279</v>
      </c>
      <c r="D61" s="3" t="s">
        <v>123</v>
      </c>
      <c r="E61" s="3" t="s">
        <v>124</v>
      </c>
      <c r="F61" s="3" t="s">
        <v>125</v>
      </c>
      <c r="G61" s="3" t="s">
        <v>126</v>
      </c>
      <c r="H61" s="3" t="s">
        <v>127</v>
      </c>
      <c r="I61" s="3" t="s">
        <v>128</v>
      </c>
      <c r="J61" s="3" t="s">
        <v>129</v>
      </c>
      <c r="K61" s="3" t="s">
        <v>130</v>
      </c>
      <c r="L61" s="3" t="s">
        <v>131</v>
      </c>
      <c r="M61" s="12">
        <v>1915500</v>
      </c>
      <c r="N61" s="14"/>
      <c r="O61" s="6" t="s">
        <v>122</v>
      </c>
      <c r="P61" s="2">
        <v>2172532</v>
      </c>
      <c r="Q61" s="2">
        <v>2122979</v>
      </c>
    </row>
    <row r="62" spans="1:27">
      <c r="A62" s="1" t="s">
        <v>132</v>
      </c>
      <c r="B62" s="2">
        <v>1491197</v>
      </c>
      <c r="C62" s="2">
        <v>1537491</v>
      </c>
      <c r="D62" s="3" t="s">
        <v>133</v>
      </c>
      <c r="E62" s="3" t="s">
        <v>134</v>
      </c>
      <c r="F62" s="3" t="s">
        <v>135</v>
      </c>
      <c r="G62" s="3" t="s">
        <v>136</v>
      </c>
      <c r="H62" s="3" t="s">
        <v>137</v>
      </c>
      <c r="I62" s="3" t="s">
        <v>138</v>
      </c>
      <c r="J62" s="3" t="s">
        <v>139</v>
      </c>
      <c r="K62" s="3" t="s">
        <v>140</v>
      </c>
      <c r="L62" s="3" t="s">
        <v>141</v>
      </c>
      <c r="M62" s="12">
        <v>1686567</v>
      </c>
      <c r="N62" s="14"/>
      <c r="O62" s="6" t="s">
        <v>132</v>
      </c>
      <c r="P62" s="2">
        <v>1751922</v>
      </c>
      <c r="Q62" s="2">
        <v>1772315</v>
      </c>
    </row>
    <row r="63" spans="1:27">
      <c r="A63" s="1" t="s">
        <v>142</v>
      </c>
      <c r="B63" s="2">
        <v>2667794.22</v>
      </c>
      <c r="C63" s="2">
        <v>2729719.27</v>
      </c>
      <c r="D63" s="7">
        <v>2721440.07</v>
      </c>
      <c r="E63" s="7">
        <v>2845703.28</v>
      </c>
      <c r="F63" s="7">
        <v>2301968</v>
      </c>
      <c r="G63" s="7">
        <v>2253423</v>
      </c>
      <c r="H63" s="7">
        <v>2384959</v>
      </c>
      <c r="I63" s="7">
        <v>2229630</v>
      </c>
      <c r="J63" s="7">
        <v>2245450</v>
      </c>
      <c r="K63" s="7">
        <v>2143354</v>
      </c>
      <c r="L63" s="7">
        <v>2145225</v>
      </c>
      <c r="M63" s="12">
        <v>2105564</v>
      </c>
      <c r="N63" s="14"/>
      <c r="O63" s="6" t="s">
        <v>142</v>
      </c>
      <c r="P63" s="2">
        <v>2353947</v>
      </c>
      <c r="Q63" s="2">
        <v>2665803</v>
      </c>
    </row>
    <row r="64" spans="1:27">
      <c r="A64" s="1" t="s">
        <v>143</v>
      </c>
      <c r="B64" s="2">
        <v>540251.35</v>
      </c>
      <c r="C64" s="2">
        <v>644364.94</v>
      </c>
      <c r="D64" s="7">
        <v>714053.67</v>
      </c>
      <c r="E64" s="7">
        <v>720480.71</v>
      </c>
      <c r="F64" s="7">
        <v>700176.28</v>
      </c>
      <c r="G64" s="7">
        <v>705672.13</v>
      </c>
      <c r="H64" s="7">
        <v>713219.63</v>
      </c>
      <c r="I64" s="7">
        <v>684369.81</v>
      </c>
      <c r="J64" s="7">
        <v>681666.82</v>
      </c>
      <c r="K64" s="7">
        <v>662577.26</v>
      </c>
      <c r="L64" s="7">
        <v>672823.14</v>
      </c>
      <c r="M64" s="12">
        <v>726856.59</v>
      </c>
      <c r="N64" s="14"/>
      <c r="O64" s="6" t="s">
        <v>143</v>
      </c>
      <c r="P64" s="2">
        <v>675837.01</v>
      </c>
      <c r="Q64" s="2">
        <v>752285.78</v>
      </c>
    </row>
    <row r="65" spans="1:27">
      <c r="A65" s="1" t="s">
        <v>144</v>
      </c>
      <c r="B65" s="2">
        <v>734647</v>
      </c>
      <c r="C65" s="2">
        <v>699544</v>
      </c>
      <c r="D65" s="7">
        <v>732303</v>
      </c>
      <c r="E65" s="7">
        <v>719653</v>
      </c>
      <c r="F65" s="7">
        <v>695369</v>
      </c>
      <c r="G65" s="7">
        <v>726675</v>
      </c>
      <c r="H65" s="7">
        <v>759242</v>
      </c>
      <c r="I65" s="7">
        <v>738036</v>
      </c>
      <c r="J65" s="7">
        <v>693811</v>
      </c>
      <c r="K65" s="7">
        <v>690777</v>
      </c>
      <c r="L65" s="7">
        <v>716051</v>
      </c>
      <c r="M65" s="12">
        <v>720807</v>
      </c>
      <c r="N65" s="14"/>
      <c r="O65" s="6" t="s">
        <v>144</v>
      </c>
      <c r="P65" s="2">
        <v>770709</v>
      </c>
      <c r="Q65" s="2">
        <v>771166</v>
      </c>
    </row>
    <row r="66" spans="1:27">
      <c r="A66" s="1" t="s">
        <v>145</v>
      </c>
      <c r="B66" s="2">
        <v>768496</v>
      </c>
      <c r="C66" s="2">
        <v>751510</v>
      </c>
      <c r="D66" s="7">
        <v>761397</v>
      </c>
      <c r="E66" s="7">
        <v>792859</v>
      </c>
      <c r="F66" s="7">
        <v>781983</v>
      </c>
      <c r="G66" s="7">
        <v>759445</v>
      </c>
      <c r="H66" s="7">
        <v>749947</v>
      </c>
      <c r="I66" s="7">
        <v>725803</v>
      </c>
      <c r="J66" s="7">
        <v>771989</v>
      </c>
      <c r="K66" s="7">
        <v>734885</v>
      </c>
      <c r="L66" s="7">
        <v>794191</v>
      </c>
      <c r="M66" s="12">
        <v>732095</v>
      </c>
      <c r="N66" s="14"/>
      <c r="O66" s="6" t="s">
        <v>145</v>
      </c>
      <c r="P66" s="2">
        <v>675471</v>
      </c>
      <c r="Q66" s="2">
        <v>650479</v>
      </c>
    </row>
    <row r="67" spans="1:27">
      <c r="A67" s="1" t="s">
        <v>146</v>
      </c>
      <c r="B67" s="2">
        <v>2322918</v>
      </c>
      <c r="C67" s="2">
        <v>2362772</v>
      </c>
      <c r="D67" s="7">
        <v>2426586</v>
      </c>
      <c r="E67" s="7">
        <v>2409335</v>
      </c>
      <c r="F67" s="7">
        <v>2376105</v>
      </c>
      <c r="G67" s="7">
        <v>2387173</v>
      </c>
      <c r="H67" s="7">
        <v>2403399</v>
      </c>
      <c r="I67" s="7">
        <v>2275121</v>
      </c>
      <c r="J67" s="7">
        <v>2265012</v>
      </c>
      <c r="K67" s="7">
        <v>2210328</v>
      </c>
      <c r="L67" s="7">
        <v>2174098</v>
      </c>
      <c r="M67" s="12">
        <v>2160996</v>
      </c>
      <c r="N67" s="14"/>
      <c r="O67" s="6" t="s">
        <v>146</v>
      </c>
      <c r="P67" s="2">
        <v>2159039</v>
      </c>
      <c r="Q67" s="2">
        <v>2066106</v>
      </c>
    </row>
    <row r="68" spans="1:27">
      <c r="A68" s="1" t="s">
        <v>147</v>
      </c>
      <c r="B68" s="2">
        <v>4346143</v>
      </c>
      <c r="C68" s="2">
        <v>4024336</v>
      </c>
      <c r="D68" s="7">
        <v>4010962</v>
      </c>
      <c r="E68" s="7">
        <v>4643926</v>
      </c>
      <c r="F68" s="7">
        <v>4306260</v>
      </c>
      <c r="G68" s="7">
        <v>4358001</v>
      </c>
      <c r="H68" s="7">
        <v>4804447</v>
      </c>
      <c r="I68" s="7">
        <v>4583808</v>
      </c>
      <c r="J68" s="7">
        <v>4829107</v>
      </c>
      <c r="K68" s="7">
        <v>4669897</v>
      </c>
      <c r="L68" s="7">
        <v>4988493</v>
      </c>
      <c r="M68" s="12">
        <v>4912319</v>
      </c>
      <c r="N68" s="14"/>
      <c r="O68" s="6" t="s">
        <v>147</v>
      </c>
      <c r="P68" s="2">
        <v>5314758</v>
      </c>
      <c r="Q68" s="2">
        <v>4966187</v>
      </c>
    </row>
    <row r="69" spans="1:27">
      <c r="A69" s="1" t="s">
        <v>148</v>
      </c>
      <c r="B69" s="2">
        <v>4084802</v>
      </c>
      <c r="C69" s="2">
        <v>4091208</v>
      </c>
      <c r="D69" s="7">
        <v>4140579</v>
      </c>
      <c r="E69" s="7">
        <v>4647144</v>
      </c>
      <c r="F69" s="7">
        <v>4546989</v>
      </c>
      <c r="G69" s="7">
        <v>4411732</v>
      </c>
      <c r="H69" s="7">
        <v>4214325</v>
      </c>
      <c r="I69" s="7">
        <v>4310693</v>
      </c>
      <c r="J69" s="7">
        <v>4278049</v>
      </c>
      <c r="K69" s="7">
        <v>4275324</v>
      </c>
      <c r="L69" s="7">
        <v>4374883</v>
      </c>
      <c r="M69" s="12">
        <v>4382944</v>
      </c>
      <c r="N69" s="14"/>
      <c r="O69" s="6" t="s">
        <v>148</v>
      </c>
      <c r="P69" s="2">
        <v>4483946</v>
      </c>
      <c r="Q69" s="2">
        <v>4551083</v>
      </c>
    </row>
    <row r="70" spans="1:27">
      <c r="A70" s="1" t="s">
        <v>149</v>
      </c>
      <c r="B70" s="2">
        <v>1681784</v>
      </c>
      <c r="C70" s="2">
        <v>1722502</v>
      </c>
      <c r="D70" s="7">
        <v>1699683</v>
      </c>
      <c r="E70" s="7">
        <v>1610691</v>
      </c>
      <c r="F70" s="7">
        <v>1577981</v>
      </c>
      <c r="G70" s="7">
        <v>1570830</v>
      </c>
      <c r="H70" s="7">
        <v>1517837</v>
      </c>
      <c r="I70" s="7">
        <v>1625438</v>
      </c>
      <c r="J70" s="7">
        <v>1624935</v>
      </c>
      <c r="K70" s="7">
        <v>2443290</v>
      </c>
      <c r="L70" s="7">
        <v>2369298</v>
      </c>
      <c r="M70" s="12">
        <v>2527797</v>
      </c>
      <c r="N70" s="14"/>
      <c r="O70" s="6" t="s">
        <v>149</v>
      </c>
      <c r="P70" s="2">
        <v>2367323</v>
      </c>
      <c r="Q70" s="2">
        <v>2419998</v>
      </c>
    </row>
    <row r="71" spans="1:27">
      <c r="A71" s="1" t="s">
        <v>150</v>
      </c>
      <c r="B71" s="2">
        <v>1377252</v>
      </c>
      <c r="C71" s="2">
        <v>1306814</v>
      </c>
      <c r="D71" s="7">
        <v>1360408</v>
      </c>
      <c r="E71" s="7">
        <v>1423265</v>
      </c>
      <c r="F71" s="7">
        <v>1399502</v>
      </c>
      <c r="G71" s="7">
        <v>1396226</v>
      </c>
      <c r="H71" s="7">
        <v>1425831</v>
      </c>
      <c r="I71" s="7">
        <v>1415101</v>
      </c>
      <c r="J71" s="7">
        <v>1549782</v>
      </c>
      <c r="K71" s="7">
        <v>1545695</v>
      </c>
      <c r="L71" s="7">
        <v>1462935</v>
      </c>
      <c r="M71" s="12">
        <v>1597230</v>
      </c>
      <c r="N71" s="14"/>
      <c r="O71" s="6" t="s">
        <v>150</v>
      </c>
      <c r="P71" s="2">
        <v>1588452</v>
      </c>
      <c r="Q71" s="2">
        <v>1547810</v>
      </c>
    </row>
    <row r="72" spans="1:27">
      <c r="A72" s="1" t="s">
        <v>151</v>
      </c>
      <c r="B72" s="2">
        <v>5310525</v>
      </c>
      <c r="C72" s="2">
        <v>5182438</v>
      </c>
      <c r="D72" s="7">
        <v>5049170</v>
      </c>
      <c r="E72" s="7">
        <v>5372401</v>
      </c>
      <c r="F72" s="7">
        <v>5232095</v>
      </c>
      <c r="G72" s="7">
        <v>5233901</v>
      </c>
      <c r="H72" s="7">
        <v>5206738</v>
      </c>
      <c r="I72" s="7">
        <v>5149944</v>
      </c>
      <c r="J72" s="7">
        <v>5759046</v>
      </c>
      <c r="K72" s="7">
        <v>5688479</v>
      </c>
      <c r="L72" s="7">
        <v>5472701</v>
      </c>
      <c r="M72" s="12">
        <v>5323553</v>
      </c>
      <c r="N72" s="14"/>
      <c r="O72" s="6" t="s">
        <v>151</v>
      </c>
      <c r="P72" s="2">
        <v>5289762</v>
      </c>
      <c r="Q72" s="2">
        <v>5324445</v>
      </c>
    </row>
    <row r="73" spans="1:27">
      <c r="A73" s="1" t="s">
        <v>152</v>
      </c>
      <c r="B73" s="2">
        <v>2776954</v>
      </c>
      <c r="C73" s="2">
        <v>2803541</v>
      </c>
      <c r="D73" s="7">
        <v>2781937</v>
      </c>
      <c r="E73" s="7">
        <v>2798864</v>
      </c>
      <c r="F73" s="7">
        <v>2789811</v>
      </c>
      <c r="G73" s="7">
        <v>2807991</v>
      </c>
      <c r="H73" s="7">
        <v>2789510</v>
      </c>
      <c r="I73" s="7">
        <v>2802699</v>
      </c>
      <c r="J73" s="7">
        <v>2822251</v>
      </c>
      <c r="K73" s="7">
        <v>2847105</v>
      </c>
      <c r="L73" s="7">
        <v>2840935</v>
      </c>
      <c r="M73" s="12">
        <v>2906896.73</v>
      </c>
      <c r="N73" s="14"/>
      <c r="O73" s="6" t="s">
        <v>152</v>
      </c>
      <c r="P73" s="2">
        <v>3043958.31</v>
      </c>
      <c r="Q73" s="2">
        <v>3076216.33</v>
      </c>
    </row>
    <row r="74" spans="1:27">
      <c r="A74" s="1" t="s">
        <v>153</v>
      </c>
      <c r="B74" s="2">
        <v>1491869</v>
      </c>
      <c r="C74" s="2">
        <v>1701735</v>
      </c>
      <c r="D74" s="7">
        <v>1673659</v>
      </c>
      <c r="E74" s="7">
        <v>1653669</v>
      </c>
      <c r="F74" s="7">
        <v>1622107</v>
      </c>
      <c r="G74" s="7">
        <v>1568957</v>
      </c>
      <c r="H74" s="7">
        <v>1526003</v>
      </c>
      <c r="I74" s="7">
        <v>1464679</v>
      </c>
      <c r="J74" s="7">
        <v>1475556</v>
      </c>
      <c r="K74" s="7">
        <v>1490760</v>
      </c>
      <c r="L74" s="7">
        <v>1396381</v>
      </c>
      <c r="M74" s="12">
        <v>1378960</v>
      </c>
      <c r="N74" s="14"/>
      <c r="O74" s="6" t="s">
        <v>153</v>
      </c>
      <c r="P74" s="2">
        <v>1476134</v>
      </c>
      <c r="Q74" s="2">
        <v>1438181</v>
      </c>
    </row>
    <row r="75" spans="1:27">
      <c r="A75" s="1" t="s">
        <v>154</v>
      </c>
      <c r="B75" s="2">
        <v>3214622</v>
      </c>
      <c r="C75" s="2">
        <v>3330831</v>
      </c>
      <c r="D75" s="7">
        <v>3623019</v>
      </c>
      <c r="E75" s="7">
        <v>3561504</v>
      </c>
      <c r="F75" s="7">
        <v>5851032</v>
      </c>
      <c r="G75" s="7">
        <v>3074045</v>
      </c>
      <c r="H75" s="7">
        <v>3373795</v>
      </c>
      <c r="I75" s="7">
        <v>3422981</v>
      </c>
      <c r="J75" s="7">
        <v>3350959</v>
      </c>
      <c r="K75" s="7">
        <v>3362534</v>
      </c>
      <c r="L75" s="7">
        <v>3374264</v>
      </c>
      <c r="M75" s="12">
        <v>3648710</v>
      </c>
      <c r="N75" s="14"/>
      <c r="O75" s="6" t="s">
        <v>154</v>
      </c>
      <c r="P75" s="2">
        <v>4075337</v>
      </c>
      <c r="Q75" s="2">
        <v>3993500</v>
      </c>
    </row>
    <row r="76" spans="1:27">
      <c r="A76" s="8"/>
      <c r="D76" s="3"/>
      <c r="E76" s="3"/>
      <c r="F76" s="3"/>
      <c r="G76" s="3"/>
      <c r="H76" s="3"/>
      <c r="I76" s="3"/>
      <c r="J76" s="3"/>
      <c r="K76" s="3"/>
      <c r="L76" s="3"/>
      <c r="M76" s="12"/>
      <c r="N76" s="14"/>
      <c r="O76" s="11" t="s">
        <v>155</v>
      </c>
      <c r="P76" s="21">
        <f>sum(P75:P3)</f>
        <v>249290739.021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>
      <c r="A77" s="23" t="s">
        <v>156</v>
      </c>
      <c r="B77" s="24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6"/>
      <c r="N77" s="14"/>
      <c r="O77" s="27" t="s">
        <v>156</v>
      </c>
    </row>
    <row r="78" spans="1:27">
      <c r="A78" s="1" t="s">
        <v>157</v>
      </c>
      <c r="B78" t="s">
        <v>158</v>
      </c>
      <c r="C78" t="s">
        <v>159</v>
      </c>
      <c r="D78" s="3" t="s">
        <v>160</v>
      </c>
      <c r="E78" s="3" t="s">
        <v>161</v>
      </c>
      <c r="F78" s="3" t="s">
        <v>162</v>
      </c>
      <c r="G78" s="3" t="s">
        <v>163</v>
      </c>
      <c r="H78" s="3" t="s">
        <v>164</v>
      </c>
      <c r="I78" s="3" t="s">
        <v>165</v>
      </c>
      <c r="J78" s="3" t="s">
        <v>166</v>
      </c>
      <c r="K78" s="3" t="s">
        <v>167</v>
      </c>
      <c r="L78" s="3" t="s">
        <v>168</v>
      </c>
      <c r="M78" s="4" t="s">
        <v>169</v>
      </c>
      <c r="N78" s="14"/>
      <c r="O78" s="6" t="s">
        <v>157</v>
      </c>
      <c r="P78" s="2">
        <v>12972004</v>
      </c>
      <c r="Q78" s="2">
        <v>13035552</v>
      </c>
    </row>
    <row r="79" spans="1:27">
      <c r="A79" s="1" t="s">
        <v>170</v>
      </c>
      <c r="B79" t="s">
        <v>171</v>
      </c>
      <c r="C79" t="s">
        <v>172</v>
      </c>
      <c r="D79" s="3" t="s">
        <v>173</v>
      </c>
      <c r="E79" s="3" t="s">
        <v>174</v>
      </c>
      <c r="F79" s="3" t="s">
        <v>175</v>
      </c>
      <c r="G79" s="3" t="s">
        <v>176</v>
      </c>
      <c r="H79" s="3" t="s">
        <v>177</v>
      </c>
      <c r="I79" s="3" t="s">
        <v>178</v>
      </c>
      <c r="J79" s="3" t="s">
        <v>179</v>
      </c>
      <c r="K79" s="3" t="s">
        <v>180</v>
      </c>
      <c r="L79" s="3" t="s">
        <v>181</v>
      </c>
      <c r="M79" s="4" t="s">
        <v>182</v>
      </c>
      <c r="N79" s="14"/>
      <c r="O79" s="6" t="s">
        <v>170</v>
      </c>
      <c r="P79" s="2">
        <v>5622306</v>
      </c>
      <c r="Q79" s="2">
        <v>5659227</v>
      </c>
    </row>
    <row r="80" spans="1:27">
      <c r="A80" s="1" t="s">
        <v>183</v>
      </c>
      <c r="B80" t="s">
        <v>184</v>
      </c>
      <c r="C80" t="s">
        <v>185</v>
      </c>
      <c r="D80" s="3" t="s">
        <v>186</v>
      </c>
      <c r="E80" s="3" t="s">
        <v>187</v>
      </c>
      <c r="F80" s="3" t="s">
        <v>188</v>
      </c>
      <c r="G80" s="3" t="s">
        <v>189</v>
      </c>
      <c r="H80" s="3" t="s">
        <v>190</v>
      </c>
      <c r="I80" s="3" t="s">
        <v>191</v>
      </c>
      <c r="J80" s="3" t="s">
        <v>192</v>
      </c>
      <c r="K80" s="3" t="s">
        <v>193</v>
      </c>
      <c r="L80" s="3" t="s">
        <v>194</v>
      </c>
      <c r="M80" s="4" t="s">
        <v>195</v>
      </c>
      <c r="N80" s="14"/>
      <c r="O80" s="6" t="s">
        <v>183</v>
      </c>
      <c r="P80" s="2">
        <v>6429215</v>
      </c>
      <c r="Q80" s="2">
        <v>6258471</v>
      </c>
    </row>
    <row r="81" spans="1:27">
      <c r="A81" s="1" t="s">
        <v>196</v>
      </c>
      <c r="B81" t="s">
        <v>197</v>
      </c>
      <c r="C81" t="s">
        <v>198</v>
      </c>
      <c r="D81" s="3" t="s">
        <v>199</v>
      </c>
      <c r="E81" s="3" t="s">
        <v>200</v>
      </c>
      <c r="F81" s="3" t="s">
        <v>201</v>
      </c>
      <c r="G81" s="3" t="s">
        <v>202</v>
      </c>
      <c r="H81" s="3" t="s">
        <v>203</v>
      </c>
      <c r="I81" s="3" t="s">
        <v>204</v>
      </c>
      <c r="J81" s="3" t="s">
        <v>205</v>
      </c>
      <c r="K81" s="3" t="s">
        <v>206</v>
      </c>
      <c r="L81" s="3" t="s">
        <v>207</v>
      </c>
      <c r="M81" s="4" t="s">
        <v>208</v>
      </c>
      <c r="N81" s="14"/>
      <c r="O81" s="6" t="s">
        <v>196</v>
      </c>
      <c r="P81" s="2">
        <v>7230344</v>
      </c>
      <c r="Q81" s="2">
        <v>7093617</v>
      </c>
    </row>
    <row r="82" spans="1:27">
      <c r="A82" s="1" t="s">
        <v>209</v>
      </c>
      <c r="B82" t="s">
        <v>210</v>
      </c>
      <c r="C82" t="s">
        <v>211</v>
      </c>
      <c r="D82" s="3" t="s">
        <v>212</v>
      </c>
      <c r="E82" s="3" t="s">
        <v>213</v>
      </c>
      <c r="F82" s="3" t="s">
        <v>214</v>
      </c>
      <c r="G82" s="3" t="s">
        <v>215</v>
      </c>
      <c r="H82" s="3" t="s">
        <v>216</v>
      </c>
      <c r="I82" s="3" t="s">
        <v>217</v>
      </c>
      <c r="J82" s="3" t="s">
        <v>218</v>
      </c>
      <c r="K82" s="3" t="s">
        <v>219</v>
      </c>
      <c r="L82" s="3" t="s">
        <v>220</v>
      </c>
      <c r="M82" s="4" t="s">
        <v>221</v>
      </c>
      <c r="N82" s="14"/>
      <c r="O82" s="6" t="s">
        <v>209</v>
      </c>
      <c r="P82" s="2">
        <v>1219165</v>
      </c>
      <c r="Q82" s="2">
        <v>1237684</v>
      </c>
    </row>
    <row r="83" spans="1:27">
      <c r="A83" s="1" t="s">
        <v>222</v>
      </c>
      <c r="B83" t="s">
        <v>223</v>
      </c>
      <c r="C83" t="s">
        <v>224</v>
      </c>
      <c r="D83" s="3" t="s">
        <v>225</v>
      </c>
      <c r="E83" s="3" t="s">
        <v>226</v>
      </c>
      <c r="F83" s="3" t="s">
        <v>227</v>
      </c>
      <c r="G83" s="3" t="s">
        <v>228</v>
      </c>
      <c r="H83" s="3" t="s">
        <v>229</v>
      </c>
      <c r="I83" s="3" t="s">
        <v>230</v>
      </c>
      <c r="J83" s="3" t="s">
        <v>231</v>
      </c>
      <c r="K83" s="3" t="s">
        <v>232</v>
      </c>
      <c r="L83" s="3" t="s">
        <v>233</v>
      </c>
      <c r="M83" s="4" t="s">
        <v>234</v>
      </c>
      <c r="N83" s="14"/>
      <c r="O83" s="6" t="s">
        <v>222</v>
      </c>
      <c r="P83" s="2">
        <v>4561072</v>
      </c>
      <c r="Q83" s="2">
        <v>4830005</v>
      </c>
    </row>
    <row r="84" spans="1:27">
      <c r="A84" s="1" t="s">
        <v>235</v>
      </c>
      <c r="B84" t="s">
        <v>236</v>
      </c>
      <c r="C84" t="s">
        <v>237</v>
      </c>
      <c r="D84" s="3" t="s">
        <v>238</v>
      </c>
      <c r="E84" s="3" t="s">
        <v>239</v>
      </c>
      <c r="F84" s="3" t="s">
        <v>240</v>
      </c>
      <c r="G84" s="3" t="s">
        <v>241</v>
      </c>
      <c r="H84" s="3" t="s">
        <v>242</v>
      </c>
      <c r="I84" s="3" t="s">
        <v>243</v>
      </c>
      <c r="J84" s="3" t="s">
        <v>244</v>
      </c>
      <c r="K84" s="3" t="s">
        <v>245</v>
      </c>
      <c r="L84" s="3" t="s">
        <v>246</v>
      </c>
      <c r="M84" s="4" t="s">
        <v>247</v>
      </c>
      <c r="N84" s="14"/>
      <c r="O84" s="6" t="s">
        <v>235</v>
      </c>
      <c r="P84" s="2">
        <v>2086949</v>
      </c>
      <c r="Q84" s="2">
        <v>2146905</v>
      </c>
    </row>
    <row r="85" spans="1:27">
      <c r="A85" s="1" t="s">
        <v>248</v>
      </c>
      <c r="B85" s="2"/>
      <c r="D85" s="3"/>
      <c r="E85" s="3"/>
      <c r="F85" s="3"/>
      <c r="G85" s="3"/>
      <c r="H85" s="3"/>
      <c r="I85" s="3"/>
      <c r="J85" s="3"/>
      <c r="K85" s="3"/>
      <c r="L85" s="3"/>
      <c r="M85" s="4"/>
      <c r="N85" s="14"/>
      <c r="O85" s="6" t="s">
        <v>248</v>
      </c>
      <c r="P85" s="2">
        <v>772955</v>
      </c>
      <c r="Q85" s="2">
        <v>753482</v>
      </c>
    </row>
    <row r="86" spans="1:27">
      <c r="A86" s="8"/>
      <c r="D86" s="3"/>
      <c r="E86" s="3"/>
      <c r="F86" s="3"/>
      <c r="G86" s="3"/>
      <c r="H86" s="3"/>
      <c r="I86" s="3"/>
      <c r="J86" s="3"/>
      <c r="K86" s="3"/>
      <c r="L86" s="3"/>
      <c r="M86" s="4"/>
      <c r="N86" s="14"/>
      <c r="O86" s="11" t="s">
        <v>155</v>
      </c>
      <c r="P86" s="21">
        <f>sum(P85:P78)</f>
        <v>40894010</v>
      </c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>
      <c r="A87" s="23" t="s">
        <v>249</v>
      </c>
      <c r="B87" s="24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6"/>
      <c r="N87" s="14"/>
      <c r="O87" s="27" t="s">
        <v>249</v>
      </c>
    </row>
    <row r="88" spans="1:27">
      <c r="A88" s="1" t="s">
        <v>250</v>
      </c>
      <c r="B88" s="7">
        <v>33495279</v>
      </c>
      <c r="C88" s="7">
        <v>32295135</v>
      </c>
      <c r="D88" s="7">
        <v>31442703</v>
      </c>
      <c r="E88" s="7">
        <v>31415360</v>
      </c>
      <c r="F88" s="7">
        <v>30954690</v>
      </c>
      <c r="G88" s="7">
        <v>30846208.19</v>
      </c>
      <c r="H88" s="7">
        <v>30996677.59</v>
      </c>
      <c r="I88" s="7">
        <v>30931177.29</v>
      </c>
      <c r="J88" s="7">
        <v>31372448.62</v>
      </c>
      <c r="K88" s="7">
        <v>31293106.88</v>
      </c>
      <c r="L88" s="7">
        <v>31038321.2</v>
      </c>
      <c r="M88" s="12">
        <v>31480786.49</v>
      </c>
      <c r="N88" s="14"/>
      <c r="O88" s="6" t="s">
        <v>250</v>
      </c>
      <c r="P88" s="2">
        <v>31930338.49</v>
      </c>
      <c r="Q88" s="2">
        <v>28188326.71</v>
      </c>
    </row>
    <row r="89" spans="1:27" ht="15.28053114822933" customHeight="1">
      <c r="A89" s="1" t="s">
        <v>251</v>
      </c>
      <c r="B89" s="7">
        <v>9696</v>
      </c>
      <c r="C89" s="7">
        <v>9696548</v>
      </c>
      <c r="D89" s="7">
        <v>9644246</v>
      </c>
      <c r="E89" s="7">
        <v>9826665</v>
      </c>
      <c r="F89" s="7">
        <v>9751730</v>
      </c>
      <c r="G89" s="7">
        <v>9885132</v>
      </c>
      <c r="H89" s="7">
        <v>9947417</v>
      </c>
      <c r="I89" s="7">
        <v>9904024</v>
      </c>
      <c r="J89" s="7">
        <v>9717097</v>
      </c>
      <c r="K89" s="7">
        <v>9918343</v>
      </c>
      <c r="L89" s="7">
        <v>9917146</v>
      </c>
      <c r="M89" s="12">
        <v>9596718</v>
      </c>
      <c r="N89" s="14"/>
      <c r="O89" s="6" t="s">
        <v>251</v>
      </c>
      <c r="P89" s="17"/>
      <c r="Q89" s="17"/>
    </row>
    <row r="90" spans="1:27" ht="15.311216277490075" customHeight="1">
      <c r="A90" s="1" t="s">
        <v>252</v>
      </c>
      <c r="B90" s="7">
        <v>11188776</v>
      </c>
      <c r="C90" s="7">
        <v>11055020</v>
      </c>
      <c r="D90" s="7">
        <v>11112771</v>
      </c>
      <c r="E90" s="7">
        <v>11278403</v>
      </c>
      <c r="F90" s="7">
        <v>11239075</v>
      </c>
      <c r="G90" s="7">
        <v>11220769</v>
      </c>
      <c r="H90" s="7">
        <v>11329603</v>
      </c>
      <c r="I90" s="7">
        <v>11341935</v>
      </c>
      <c r="J90" s="7">
        <v>11282642</v>
      </c>
      <c r="K90" s="7">
        <v>11336159</v>
      </c>
      <c r="L90" s="7">
        <v>11240175</v>
      </c>
      <c r="M90" s="12">
        <v>11309909</v>
      </c>
      <c r="N90" s="14"/>
      <c r="O90" s="6" t="s">
        <v>252</v>
      </c>
      <c r="P90" s="2">
        <v>11613522</v>
      </c>
      <c r="Q90" s="2">
        <v>11781207</v>
      </c>
    </row>
    <row r="91" spans="1:27" ht="16.299011739220685" customHeight="1">
      <c r="A91" s="1" t="s">
        <v>253</v>
      </c>
      <c r="B91" s="7">
        <v>2374161</v>
      </c>
      <c r="C91" s="7">
        <v>2329432</v>
      </c>
      <c r="D91" s="7">
        <v>2347282</v>
      </c>
      <c r="E91" s="7">
        <v>2368123</v>
      </c>
      <c r="F91" s="7">
        <v>2379851</v>
      </c>
      <c r="G91" s="7">
        <v>2367844</v>
      </c>
      <c r="H91" s="7">
        <v>2373066</v>
      </c>
      <c r="I91" s="7"/>
      <c r="J91" s="7">
        <v>2413495</v>
      </c>
      <c r="K91" s="7">
        <v>2435020</v>
      </c>
      <c r="L91" s="7">
        <v>2434577</v>
      </c>
      <c r="M91" s="12">
        <v>2466337</v>
      </c>
      <c r="N91" s="14"/>
      <c r="O91" s="6" t="s">
        <v>253</v>
      </c>
      <c r="P91" s="2">
        <v>2503108</v>
      </c>
    </row>
    <row r="92" spans="1:27" ht="14.817298198168677" customHeight="1">
      <c r="A92" s="1" t="s">
        <v>254</v>
      </c>
      <c r="B92" s="7">
        <v>1055404</v>
      </c>
      <c r="C92" s="7">
        <v>1072015</v>
      </c>
      <c r="D92" s="7">
        <v>1100741</v>
      </c>
      <c r="E92" s="7">
        <v>1094957</v>
      </c>
      <c r="F92" s="7">
        <v>1102092</v>
      </c>
      <c r="G92" s="7">
        <v>1119906</v>
      </c>
      <c r="H92" s="7">
        <v>1151737</v>
      </c>
      <c r="I92" s="7">
        <v>1194041</v>
      </c>
      <c r="J92" s="7">
        <v>1214023</v>
      </c>
      <c r="K92" s="7">
        <v>1244803</v>
      </c>
      <c r="L92" s="7">
        <v>1269843</v>
      </c>
      <c r="M92" s="12">
        <v>1317913</v>
      </c>
      <c r="N92" s="14"/>
      <c r="O92" s="6" t="s">
        <v>254</v>
      </c>
      <c r="P92" s="2">
        <v>1353235</v>
      </c>
      <c r="Q92" s="2">
        <v>1399914</v>
      </c>
    </row>
    <row r="93" spans="1:27" ht="15.805114008355304" customHeight="1">
      <c r="A93" s="1" t="s">
        <v>255</v>
      </c>
      <c r="B93" s="7">
        <v>60320957</v>
      </c>
      <c r="C93" s="7">
        <v>60471837</v>
      </c>
      <c r="D93" s="7">
        <v>60556608</v>
      </c>
      <c r="E93" s="7">
        <v>60900714</v>
      </c>
      <c r="F93" s="7">
        <v>61223489</v>
      </c>
      <c r="G93" s="7">
        <v>61331863</v>
      </c>
      <c r="H93" s="7">
        <v>61765671</v>
      </c>
      <c r="I93" s="7">
        <v>62299618</v>
      </c>
      <c r="J93" s="7">
        <v>63635865</v>
      </c>
      <c r="K93" s="7">
        <v>64065065</v>
      </c>
      <c r="L93" s="7">
        <v>64468426</v>
      </c>
      <c r="M93" s="12">
        <v>65469220</v>
      </c>
      <c r="N93" s="14"/>
      <c r="O93" s="6" t="s">
        <v>255</v>
      </c>
      <c r="P93" s="2">
        <v>65633896</v>
      </c>
      <c r="Q93" s="2">
        <v>65887932</v>
      </c>
    </row>
    <row r="94" spans="1:27" ht="14.817298198168677" customHeight="1">
      <c r="A94" s="1" t="s">
        <v>256</v>
      </c>
      <c r="B94" s="7">
        <v>4194285</v>
      </c>
      <c r="C94" s="7">
        <v>4085442</v>
      </c>
      <c r="D94" s="7">
        <v>4223765</v>
      </c>
      <c r="E94" s="7">
        <v>5085883</v>
      </c>
      <c r="F94" s="7">
        <v>5255057</v>
      </c>
      <c r="G94" s="7">
        <v>5554217</v>
      </c>
      <c r="H94" s="7">
        <v>5705764</v>
      </c>
      <c r="I94" s="7">
        <v>5406238</v>
      </c>
      <c r="J94" s="7">
        <v>5031820</v>
      </c>
      <c r="K94" s="7">
        <v>4971897</v>
      </c>
      <c r="L94" s="7">
        <v>4075030</v>
      </c>
      <c r="M94" s="12">
        <v>3780364</v>
      </c>
      <c r="N94" s="14"/>
      <c r="O94" s="6" t="s">
        <v>256</v>
      </c>
      <c r="P94" s="2">
        <v>4390687</v>
      </c>
      <c r="Q94" s="2">
        <v>4335046</v>
      </c>
    </row>
    <row r="95" spans="1:27" ht="16.299032087676853" customHeight="1">
      <c r="A95" s="1" t="s">
        <v>257</v>
      </c>
      <c r="B95" s="7">
        <v>6155595</v>
      </c>
      <c r="C95" s="7">
        <v>6069387</v>
      </c>
      <c r="D95" s="7">
        <v>6065548</v>
      </c>
      <c r="E95" s="7">
        <v>6143458</v>
      </c>
      <c r="F95" s="7">
        <v>6159299</v>
      </c>
      <c r="G95" s="7">
        <v>6003566</v>
      </c>
      <c r="H95" s="7">
        <v>6005195</v>
      </c>
      <c r="I95" s="7">
        <v>6020478</v>
      </c>
      <c r="J95" s="7">
        <v>6053601</v>
      </c>
      <c r="K95" s="7">
        <v>6070759</v>
      </c>
      <c r="L95" s="7">
        <v>5943236</v>
      </c>
      <c r="M95" s="12">
        <v>5987048</v>
      </c>
      <c r="N95" s="14"/>
      <c r="O95" s="6" t="s">
        <v>257</v>
      </c>
      <c r="P95" s="2">
        <v>5954837</v>
      </c>
      <c r="Q95" s="2">
        <v>5945146</v>
      </c>
    </row>
    <row r="96" spans="1:27" ht="15.291377931565117" customHeight="1">
      <c r="A96" s="1" t="s">
        <v>258</v>
      </c>
      <c r="B96" s="7">
        <v>20632286</v>
      </c>
      <c r="C96" s="7">
        <v>20620312</v>
      </c>
      <c r="D96" s="7">
        <v>20096078</v>
      </c>
      <c r="E96" s="7">
        <v>19926197</v>
      </c>
      <c r="F96" s="7">
        <v>19828345</v>
      </c>
      <c r="G96" s="7">
        <v>19398390</v>
      </c>
      <c r="H96" s="7">
        <v>19511820</v>
      </c>
      <c r="I96" s="7">
        <v>18846098</v>
      </c>
      <c r="J96" s="7">
        <v>20238739</v>
      </c>
      <c r="K96" s="7">
        <v>20377473</v>
      </c>
      <c r="L96" s="7">
        <v>21066262</v>
      </c>
      <c r="M96" s="12">
        <v>21692630</v>
      </c>
      <c r="N96" s="14"/>
      <c r="O96" s="6" t="s">
        <v>258</v>
      </c>
      <c r="P96" s="2">
        <v>21860364</v>
      </c>
      <c r="Q96" s="2">
        <v>22192386</v>
      </c>
    </row>
    <row r="97" spans="1:27" ht="16.299011739220685" customHeight="1">
      <c r="A97" s="1" t="s">
        <v>259</v>
      </c>
      <c r="B97" s="7">
        <v>724361</v>
      </c>
      <c r="C97" s="7">
        <v>781498</v>
      </c>
      <c r="D97" s="7">
        <v>841855</v>
      </c>
      <c r="E97" s="7">
        <v>878669</v>
      </c>
      <c r="F97" s="7">
        <v>949812</v>
      </c>
      <c r="G97" s="7">
        <v>995186</v>
      </c>
      <c r="H97" s="7">
        <v>1072974</v>
      </c>
      <c r="I97" s="7">
        <v>1165800</v>
      </c>
      <c r="J97" s="7">
        <v>1245069</v>
      </c>
      <c r="K97" s="7">
        <v>1304406</v>
      </c>
      <c r="L97" s="7">
        <v>1394633</v>
      </c>
      <c r="M97" s="12">
        <v>1455812</v>
      </c>
      <c r="N97" s="14"/>
      <c r="O97" s="6" t="s">
        <v>259</v>
      </c>
      <c r="P97" s="2">
        <v>1524856</v>
      </c>
      <c r="Q97" s="2">
        <v>1605250</v>
      </c>
    </row>
    <row r="98" spans="1:27" ht="17.286847897863485" customHeight="1">
      <c r="A98" s="1" t="s">
        <v>260</v>
      </c>
      <c r="B98" s="7">
        <v>261782.91</v>
      </c>
      <c r="C98" s="7">
        <v>258112.76</v>
      </c>
      <c r="D98" s="7">
        <v>254412.32</v>
      </c>
      <c r="E98" s="7">
        <v>249860.12</v>
      </c>
      <c r="F98" s="7">
        <v>241339.69</v>
      </c>
      <c r="G98" s="7">
        <v>236324.55</v>
      </c>
      <c r="H98" s="7">
        <v>243127.09</v>
      </c>
      <c r="I98" s="7">
        <v>243650.33</v>
      </c>
      <c r="J98" s="7">
        <v>233016.71</v>
      </c>
      <c r="K98" s="7">
        <v>225363.79</v>
      </c>
      <c r="L98" s="7">
        <v>215859.79</v>
      </c>
      <c r="M98" s="12">
        <v>204899.4</v>
      </c>
      <c r="N98" s="14"/>
      <c r="O98" s="6" t="s">
        <v>260</v>
      </c>
      <c r="P98" s="2">
        <v>385149</v>
      </c>
      <c r="Q98" s="2">
        <v>378871.78</v>
      </c>
    </row>
    <row r="99" spans="1:27" ht="18.274663708049957" customHeight="1">
      <c r="A99" s="1" t="s">
        <v>261</v>
      </c>
      <c r="B99" s="7">
        <v>5672600</v>
      </c>
      <c r="C99" s="7">
        <v>5645100</v>
      </c>
      <c r="D99" s="7">
        <v>5806721</v>
      </c>
      <c r="E99" s="7">
        <v>5981197</v>
      </c>
      <c r="F99" s="7">
        <v>6143556</v>
      </c>
      <c r="G99" s="7">
        <v>6253506</v>
      </c>
      <c r="H99" s="7">
        <v>6481029</v>
      </c>
      <c r="I99" s="7">
        <v>6721454</v>
      </c>
      <c r="J99" s="7">
        <v>6818142</v>
      </c>
      <c r="K99" s="7">
        <v>6669550</v>
      </c>
      <c r="L99" s="7">
        <v>6739176</v>
      </c>
      <c r="M99" s="12">
        <v>6519009</v>
      </c>
      <c r="N99" s="14"/>
      <c r="O99" s="6" t="s">
        <v>261</v>
      </c>
      <c r="P99" s="2">
        <v>6789900</v>
      </c>
      <c r="Q99" s="2">
        <v>7217619</v>
      </c>
    </row>
    <row r="100" spans="1:27" ht="17.286847897863485" customHeight="1">
      <c r="A100" s="15" t="s">
        <v>262</v>
      </c>
      <c r="B100" s="28">
        <v>482819</v>
      </c>
      <c r="C100" s="28">
        <v>156417</v>
      </c>
      <c r="D100" s="28">
        <v>150962</v>
      </c>
      <c r="E100" s="28">
        <v>154082</v>
      </c>
      <c r="F100" s="28">
        <v>149458</v>
      </c>
      <c r="G100" s="28">
        <v>144734</v>
      </c>
      <c r="H100" s="28">
        <v>141074</v>
      </c>
      <c r="I100" s="28">
        <v>141396</v>
      </c>
      <c r="J100" s="28">
        <v>142024</v>
      </c>
      <c r="K100" s="28">
        <v>144676</v>
      </c>
      <c r="L100" s="28">
        <v>140804</v>
      </c>
      <c r="M100" s="29">
        <v>134585</v>
      </c>
      <c r="N100" s="14"/>
      <c r="O100" s="20" t="s">
        <v>262</v>
      </c>
      <c r="P100" s="17" t="s">
        <v>113</v>
      </c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ht="16.79292981854208" customHeight="1">
      <c r="A101" s="1" t="s">
        <v>263</v>
      </c>
      <c r="B101" s="7">
        <v>3198254</v>
      </c>
      <c r="C101" s="7">
        <v>3315417</v>
      </c>
      <c r="D101" s="7">
        <v>3302484</v>
      </c>
      <c r="E101" s="7">
        <v>3324914</v>
      </c>
      <c r="F101" s="7">
        <v>3328670</v>
      </c>
      <c r="G101" s="7">
        <v>3287954</v>
      </c>
      <c r="H101" s="7">
        <v>3263877</v>
      </c>
      <c r="I101" s="7">
        <v>3252210</v>
      </c>
      <c r="J101" s="7">
        <v>3256444</v>
      </c>
      <c r="K101" s="7">
        <v>3252020</v>
      </c>
      <c r="L101" s="7">
        <v>3247315</v>
      </c>
      <c r="M101" s="12">
        <v>3289507</v>
      </c>
      <c r="N101" s="14"/>
      <c r="O101" s="6" t="s">
        <v>263</v>
      </c>
      <c r="P101" s="2">
        <v>3463632</v>
      </c>
      <c r="Q101" s="2">
        <v>3555220</v>
      </c>
    </row>
    <row r="102" spans="1:27" ht="16.299011739220685" customHeight="1">
      <c r="A102" s="1" t="s">
        <v>264</v>
      </c>
      <c r="B102" s="7">
        <v>7267985</v>
      </c>
      <c r="C102" s="7">
        <v>6869868</v>
      </c>
      <c r="D102" s="7">
        <v>6906202</v>
      </c>
      <c r="E102" s="7">
        <v>7107948</v>
      </c>
      <c r="F102" s="7">
        <v>7153293</v>
      </c>
      <c r="G102" s="7">
        <v>7357551</v>
      </c>
      <c r="H102" s="7">
        <v>7186563</v>
      </c>
      <c r="I102" s="7">
        <v>7003233</v>
      </c>
      <c r="J102" s="7">
        <v>6880827</v>
      </c>
      <c r="K102" s="7">
        <v>6998254</v>
      </c>
      <c r="L102" s="7">
        <v>6802814</v>
      </c>
      <c r="M102" s="12">
        <v>6839011</v>
      </c>
      <c r="N102" s="14"/>
      <c r="O102" s="6" t="s">
        <v>264</v>
      </c>
      <c r="P102" s="2">
        <v>7387373</v>
      </c>
      <c r="Q102" s="2">
        <v>7402732</v>
      </c>
    </row>
    <row r="103" spans="1:27" ht="15.784791404144626" customHeight="1">
      <c r="A103" s="1" t="s">
        <v>265</v>
      </c>
      <c r="B103" s="7">
        <v>921941</v>
      </c>
      <c r="C103" s="7">
        <v>923006</v>
      </c>
      <c r="D103" s="7">
        <v>845185</v>
      </c>
      <c r="E103" s="7">
        <v>852757</v>
      </c>
      <c r="F103" s="7">
        <v>871914</v>
      </c>
      <c r="G103" s="7">
        <v>856382</v>
      </c>
      <c r="H103" s="7">
        <v>869151</v>
      </c>
      <c r="I103" s="7">
        <v>868391</v>
      </c>
      <c r="J103" s="7">
        <v>865579</v>
      </c>
      <c r="K103" s="7">
        <v>866627</v>
      </c>
      <c r="L103" s="7">
        <v>869396</v>
      </c>
      <c r="M103" s="12">
        <v>846790</v>
      </c>
      <c r="N103" s="14"/>
      <c r="O103" s="6" t="s">
        <v>265</v>
      </c>
      <c r="P103" s="2">
        <v>847415</v>
      </c>
      <c r="Q103" s="2">
        <v>851436.27</v>
      </c>
    </row>
    <row r="104" spans="1:27" ht="15.805114008355304" customHeight="1">
      <c r="A104" s="1" t="s">
        <v>266</v>
      </c>
      <c r="B104" s="7">
        <v>199638</v>
      </c>
      <c r="C104" s="7">
        <v>196666</v>
      </c>
      <c r="D104" s="7">
        <v>198453</v>
      </c>
      <c r="E104" s="7">
        <v>197381</v>
      </c>
      <c r="F104" s="7">
        <v>195762</v>
      </c>
      <c r="G104" s="7">
        <v>196510</v>
      </c>
      <c r="H104" s="7">
        <v>198413</v>
      </c>
      <c r="I104" s="7">
        <v>200600</v>
      </c>
      <c r="J104" s="7">
        <v>255391</v>
      </c>
      <c r="K104" s="7">
        <v>257927</v>
      </c>
      <c r="L104" s="7">
        <v>254477</v>
      </c>
      <c r="M104" s="12">
        <v>250784</v>
      </c>
      <c r="N104" s="14"/>
      <c r="O104" s="6" t="s">
        <v>266</v>
      </c>
      <c r="P104" s="2">
        <v>249971</v>
      </c>
      <c r="Q104" s="2">
        <v>249068.38</v>
      </c>
    </row>
    <row r="105" spans="1:27" ht="14.32338011884743" customHeight="1">
      <c r="A105" s="1" t="s">
        <v>267</v>
      </c>
      <c r="B105" s="7">
        <v>4037646.31</v>
      </c>
      <c r="C105" s="7">
        <v>4168583.88</v>
      </c>
      <c r="D105" s="7">
        <v>4014843.09</v>
      </c>
      <c r="E105" s="7">
        <v>4000169.43</v>
      </c>
      <c r="F105" s="7">
        <v>3920103.32</v>
      </c>
      <c r="G105" s="7">
        <v>4007228.77</v>
      </c>
      <c r="H105" s="7">
        <v>3603844.79</v>
      </c>
      <c r="I105" s="7">
        <v>3540758.2</v>
      </c>
      <c r="J105" s="7">
        <v>3505741.18</v>
      </c>
      <c r="K105" s="7">
        <v>4017834.03</v>
      </c>
      <c r="L105" s="7">
        <v>4601907.24</v>
      </c>
      <c r="M105" s="12">
        <v>4276329.16</v>
      </c>
      <c r="N105" s="14"/>
      <c r="O105" s="6" t="s">
        <v>267</v>
      </c>
      <c r="P105" s="2">
        <v>4191281</v>
      </c>
      <c r="Q105" s="2">
        <v>392323114</v>
      </c>
    </row>
    <row r="106" spans="1:27" ht="15.805114008355607" customHeight="1">
      <c r="A106" s="1" t="s">
        <v>268</v>
      </c>
      <c r="B106" s="7">
        <v>8509918</v>
      </c>
      <c r="C106" s="7">
        <v>8635905</v>
      </c>
      <c r="D106" s="7">
        <v>8708862</v>
      </c>
      <c r="E106" s="7">
        <v>8914778</v>
      </c>
      <c r="F106" s="7">
        <v>8978197</v>
      </c>
      <c r="G106" s="7">
        <v>9149495</v>
      </c>
      <c r="H106" s="7">
        <v>9300639</v>
      </c>
      <c r="I106" s="7">
        <v>9535390</v>
      </c>
      <c r="J106" s="7">
        <v>9676051</v>
      </c>
      <c r="K106" s="7">
        <v>9939546</v>
      </c>
      <c r="L106" s="7">
        <v>10029885</v>
      </c>
      <c r="M106" s="12">
        <v>10089633</v>
      </c>
      <c r="N106" s="14"/>
      <c r="O106" s="6" t="s">
        <v>268</v>
      </c>
      <c r="P106" s="2">
        <v>9788013</v>
      </c>
      <c r="Q106" s="2">
        <v>9888922.88</v>
      </c>
    </row>
    <row r="107" spans="1:27" ht="14.323359770390807" customHeight="1">
      <c r="A107" s="1" t="s">
        <v>269</v>
      </c>
      <c r="B107" s="7">
        <v>3787002</v>
      </c>
      <c r="C107" s="7">
        <v>3836690</v>
      </c>
      <c r="D107" s="7">
        <v>3863391</v>
      </c>
      <c r="E107" s="7">
        <v>3883925</v>
      </c>
      <c r="F107" s="7">
        <v>3947979</v>
      </c>
      <c r="G107" s="7">
        <v>4056246</v>
      </c>
      <c r="H107" s="7">
        <v>4096588</v>
      </c>
      <c r="I107" s="7">
        <v>4174767</v>
      </c>
      <c r="J107" s="7">
        <v>4267996</v>
      </c>
      <c r="K107" s="7">
        <v>4575923</v>
      </c>
      <c r="L107" s="7">
        <v>4628955</v>
      </c>
      <c r="M107" s="12">
        <v>4708824</v>
      </c>
      <c r="N107" s="14"/>
      <c r="O107" s="6" t="s">
        <v>269</v>
      </c>
      <c r="P107" s="2">
        <v>5134586</v>
      </c>
      <c r="Q107" s="2">
        <v>5198157</v>
      </c>
    </row>
    <row r="108" spans="1:27" ht="16.792970515454424" customHeight="1">
      <c r="A108" s="1" t="s">
        <v>270</v>
      </c>
      <c r="B108" s="7">
        <v>319854</v>
      </c>
      <c r="C108" s="7">
        <v>321606</v>
      </c>
      <c r="D108" s="7">
        <v>322517</v>
      </c>
      <c r="E108" s="7">
        <v>317407</v>
      </c>
      <c r="F108" s="7">
        <v>325735</v>
      </c>
      <c r="G108" s="7">
        <v>323215</v>
      </c>
      <c r="H108" s="7">
        <v>316929</v>
      </c>
      <c r="I108" s="7">
        <v>311628</v>
      </c>
      <c r="J108" s="7">
        <v>312831</v>
      </c>
      <c r="K108" s="7">
        <v>310382</v>
      </c>
      <c r="L108" s="7">
        <v>317029</v>
      </c>
      <c r="M108" s="12">
        <v>314087</v>
      </c>
      <c r="N108" s="14"/>
      <c r="O108" s="6" t="s">
        <v>270</v>
      </c>
      <c r="P108" s="2">
        <v>337266</v>
      </c>
      <c r="Q108" s="2">
        <v>334689</v>
      </c>
    </row>
    <row r="109" spans="1:27" ht="14.32342081575977" customHeight="1">
      <c r="A109" s="1" t="s">
        <v>271</v>
      </c>
      <c r="B109" s="7">
        <v>3350422</v>
      </c>
      <c r="C109" s="7">
        <v>3548304</v>
      </c>
      <c r="D109" s="7">
        <v>3509329</v>
      </c>
      <c r="E109" s="7">
        <v>3585489</v>
      </c>
      <c r="F109" s="7">
        <v>3724912</v>
      </c>
      <c r="G109" s="7">
        <v>3714996</v>
      </c>
      <c r="H109" s="7">
        <v>3667014</v>
      </c>
      <c r="I109" s="7">
        <v>3846226</v>
      </c>
      <c r="J109" s="7">
        <v>3870329</v>
      </c>
      <c r="K109" s="7">
        <v>4108506</v>
      </c>
      <c r="L109" s="7">
        <v>4952941</v>
      </c>
      <c r="M109" s="12">
        <v>4279677</v>
      </c>
      <c r="N109" s="14"/>
      <c r="O109" s="6" t="s">
        <v>271</v>
      </c>
      <c r="P109" s="2">
        <v>4290375</v>
      </c>
      <c r="Q109" s="2">
        <v>3973135</v>
      </c>
    </row>
    <row r="110" spans="1:27" ht="16.76488755211115" customHeight="1">
      <c r="A110" s="1" t="s">
        <v>272</v>
      </c>
      <c r="B110" s="7">
        <v>1488288</v>
      </c>
      <c r="C110" s="7">
        <v>1520373</v>
      </c>
      <c r="D110" s="7">
        <v>1484426</v>
      </c>
      <c r="E110" s="7">
        <v>1464590</v>
      </c>
      <c r="F110" s="7">
        <v>1522238</v>
      </c>
      <c r="G110" s="7">
        <v>1521509</v>
      </c>
      <c r="H110" s="7">
        <v>1675408</v>
      </c>
      <c r="I110" s="7">
        <v>1644937</v>
      </c>
      <c r="J110" s="7">
        <v>1678355</v>
      </c>
      <c r="K110" s="7">
        <v>1749110</v>
      </c>
      <c r="L110" s="7">
        <v>2153415</v>
      </c>
      <c r="M110" s="12">
        <v>2193667</v>
      </c>
      <c r="N110" s="14"/>
      <c r="O110" s="6" t="s">
        <v>272</v>
      </c>
      <c r="P110" s="2">
        <v>2217424</v>
      </c>
      <c r="Q110" s="2">
        <v>2101625</v>
      </c>
    </row>
    <row r="111" spans="1:27" ht="16.792950166998406" customHeight="1">
      <c r="A111" s="1" t="s">
        <v>273</v>
      </c>
      <c r="B111" s="7">
        <v>511140.62</v>
      </c>
      <c r="C111" s="7">
        <v>535648.67</v>
      </c>
      <c r="D111" s="7">
        <v>526141.93</v>
      </c>
      <c r="E111" s="7">
        <v>529723.48</v>
      </c>
      <c r="F111" s="7">
        <v>546921.12</v>
      </c>
      <c r="G111" s="7">
        <v>540463.64</v>
      </c>
      <c r="H111" s="7">
        <v>544779.62</v>
      </c>
      <c r="I111" s="7">
        <v>567699.02</v>
      </c>
      <c r="J111" s="7">
        <v>564430.71</v>
      </c>
      <c r="K111" s="7">
        <v>572089.38</v>
      </c>
      <c r="L111" s="7">
        <v>675692.02</v>
      </c>
      <c r="M111" s="12">
        <v>765533.88</v>
      </c>
      <c r="N111" s="14"/>
      <c r="O111" s="6" t="s">
        <v>273</v>
      </c>
      <c r="P111" s="2">
        <v>754531</v>
      </c>
      <c r="Q111" s="2">
        <v>702713.44</v>
      </c>
    </row>
    <row r="112" spans="1:27" ht="16.79290947008576" customHeight="1">
      <c r="A112" s="1" t="s">
        <v>274</v>
      </c>
      <c r="B112" s="7">
        <v>186915</v>
      </c>
      <c r="C112" s="7">
        <v>185446</v>
      </c>
      <c r="D112" s="7">
        <v>189344</v>
      </c>
      <c r="E112" s="7">
        <v>195537</v>
      </c>
      <c r="F112" s="7">
        <v>199181</v>
      </c>
      <c r="G112" s="7">
        <v>254588</v>
      </c>
      <c r="H112" s="7">
        <v>281976</v>
      </c>
      <c r="I112" s="7">
        <v>291168</v>
      </c>
      <c r="J112" s="7">
        <v>308031</v>
      </c>
      <c r="K112" s="7">
        <v>324399</v>
      </c>
      <c r="L112" s="7">
        <v>329993</v>
      </c>
      <c r="M112" s="12">
        <v>331580</v>
      </c>
      <c r="N112" s="14"/>
      <c r="O112" s="6" t="s">
        <v>274</v>
      </c>
      <c r="P112" s="2">
        <v>366171</v>
      </c>
      <c r="Q112" s="2">
        <v>394923</v>
      </c>
    </row>
    <row r="113" spans="1:27" ht="15.311216277490226" customHeight="1">
      <c r="A113" s="1" t="s">
        <v>275</v>
      </c>
      <c r="B113" s="7">
        <v>1015071</v>
      </c>
      <c r="C113" s="7">
        <v>1027244</v>
      </c>
      <c r="D113" s="7">
        <v>1079355</v>
      </c>
      <c r="E113" s="7">
        <v>1091909</v>
      </c>
      <c r="F113" s="7">
        <v>1131188</v>
      </c>
      <c r="G113" s="7">
        <v>1152125</v>
      </c>
      <c r="H113" s="7">
        <v>1193488</v>
      </c>
      <c r="I113" s="7">
        <v>1204127</v>
      </c>
      <c r="J113" s="7">
        <v>1239423</v>
      </c>
      <c r="K113" s="7">
        <v>1297480</v>
      </c>
      <c r="L113" s="7">
        <v>1302158</v>
      </c>
      <c r="M113" s="12">
        <v>1328983</v>
      </c>
      <c r="N113" s="14"/>
      <c r="O113" s="6" t="s">
        <v>275</v>
      </c>
      <c r="P113" s="2">
        <v>1385261</v>
      </c>
      <c r="Q113" s="2">
        <v>1416950</v>
      </c>
    </row>
    <row r="114" spans="1:27" ht="15.805114008355304" customHeight="1">
      <c r="A114" s="1" t="s">
        <v>276</v>
      </c>
      <c r="B114" s="7">
        <v>391405</v>
      </c>
      <c r="C114" s="7">
        <v>407491</v>
      </c>
      <c r="D114" s="7">
        <v>423551</v>
      </c>
      <c r="E114" s="7">
        <v>419339</v>
      </c>
      <c r="F114" s="7">
        <v>436677</v>
      </c>
      <c r="G114" s="7">
        <v>456839</v>
      </c>
      <c r="H114" s="7">
        <v>471331</v>
      </c>
      <c r="I114" s="7">
        <v>494578</v>
      </c>
      <c r="J114" s="7">
        <v>516413</v>
      </c>
      <c r="K114" s="7">
        <v>534046</v>
      </c>
      <c r="L114" s="7">
        <v>548800</v>
      </c>
      <c r="M114" s="12">
        <v>574853</v>
      </c>
      <c r="N114" s="14"/>
      <c r="O114" s="6" t="s">
        <v>276</v>
      </c>
      <c r="P114" s="2">
        <v>595868</v>
      </c>
      <c r="Q114" s="2">
        <v>621592</v>
      </c>
    </row>
    <row r="115" spans="1:27" ht="15.311195929033905" customHeight="1">
      <c r="A115" s="1" t="s">
        <v>277</v>
      </c>
      <c r="B115" s="7">
        <v>3589362</v>
      </c>
      <c r="C115" s="7">
        <v>3560909</v>
      </c>
      <c r="D115" s="7">
        <v>3488275</v>
      </c>
      <c r="E115" s="7">
        <v>3531948</v>
      </c>
      <c r="F115" s="7">
        <v>3571147</v>
      </c>
      <c r="G115" s="7">
        <v>3564082</v>
      </c>
      <c r="H115" s="7">
        <v>3603872</v>
      </c>
      <c r="I115" s="7">
        <v>3632702</v>
      </c>
      <c r="J115" s="7">
        <v>3624193</v>
      </c>
      <c r="K115" s="7">
        <v>3668257</v>
      </c>
      <c r="L115" s="7">
        <v>3685624</v>
      </c>
      <c r="M115" s="12">
        <v>3685590</v>
      </c>
      <c r="N115" s="14"/>
      <c r="O115" s="6" t="s">
        <v>277</v>
      </c>
      <c r="P115" s="2">
        <v>2070663</v>
      </c>
      <c r="Q115" s="2">
        <v>3661676</v>
      </c>
    </row>
    <row r="116" spans="1:27" ht="15.311216277490226" customHeight="1">
      <c r="A116" s="1" t="s">
        <v>278</v>
      </c>
      <c r="B116" s="7">
        <v>1985542</v>
      </c>
      <c r="C116" s="7">
        <v>1895560</v>
      </c>
      <c r="D116" s="7">
        <v>1894320</v>
      </c>
      <c r="E116" s="7">
        <v>1921643</v>
      </c>
      <c r="F116" s="7">
        <v>1986430</v>
      </c>
      <c r="G116" s="7">
        <v>1986044</v>
      </c>
      <c r="H116" s="7">
        <v>2002904</v>
      </c>
      <c r="I116" s="7">
        <v>2002851</v>
      </c>
      <c r="J116" s="7">
        <v>2017168</v>
      </c>
      <c r="K116" s="7">
        <v>2068563</v>
      </c>
      <c r="L116" s="7">
        <v>2044319</v>
      </c>
      <c r="M116" s="12">
        <v>2056177</v>
      </c>
      <c r="N116" s="14"/>
      <c r="O116" s="6" t="s">
        <v>278</v>
      </c>
      <c r="P116" s="2">
        <v>2056006</v>
      </c>
      <c r="Q116" s="2">
        <v>2073278</v>
      </c>
    </row>
    <row r="117" spans="1:27" ht="17.28682754940716" customHeight="1">
      <c r="A117" s="1" t="s">
        <v>279</v>
      </c>
      <c r="B117" s="7">
        <v>392605</v>
      </c>
      <c r="C117" s="7">
        <v>388979</v>
      </c>
      <c r="D117" s="7">
        <v>369649</v>
      </c>
      <c r="E117" s="7">
        <v>351543</v>
      </c>
      <c r="F117" s="7">
        <v>333177</v>
      </c>
      <c r="G117" s="7">
        <v>324270</v>
      </c>
      <c r="H117" s="7">
        <v>300915</v>
      </c>
      <c r="I117" s="7">
        <v>279682</v>
      </c>
      <c r="J117" s="7">
        <v>261044</v>
      </c>
      <c r="K117" s="7">
        <v>245619</v>
      </c>
      <c r="L117" s="7">
        <v>218077</v>
      </c>
      <c r="M117" s="12">
        <v>201204</v>
      </c>
      <c r="N117" s="14"/>
      <c r="O117" s="6" t="s">
        <v>279</v>
      </c>
      <c r="P117" s="2">
        <v>132425</v>
      </c>
      <c r="Q117" s="2">
        <v>96641</v>
      </c>
    </row>
    <row r="118" spans="1:27" ht="17.286888594776126" customHeight="1">
      <c r="A118" s="1" t="s">
        <v>280</v>
      </c>
      <c r="B118" s="7">
        <v>26670601</v>
      </c>
      <c r="C118" s="7">
        <v>26659516</v>
      </c>
      <c r="D118" s="7">
        <v>26517787</v>
      </c>
      <c r="E118" s="7">
        <v>27060895</v>
      </c>
      <c r="F118" s="7"/>
      <c r="G118" s="7">
        <v>26872942</v>
      </c>
      <c r="H118" s="7">
        <v>27139129</v>
      </c>
      <c r="I118" s="7">
        <v>27166141</v>
      </c>
      <c r="J118" s="7">
        <v>27234609</v>
      </c>
      <c r="K118" s="7">
        <v>27486387</v>
      </c>
      <c r="L118" s="7">
        <v>27407983</v>
      </c>
      <c r="M118" s="12">
        <v>27511858</v>
      </c>
      <c r="N118" s="14"/>
      <c r="O118" s="6" t="s">
        <v>280</v>
      </c>
      <c r="P118" s="2">
        <v>27519452</v>
      </c>
    </row>
    <row r="119" spans="1:27">
      <c r="A119" s="1" t="s">
        <v>281</v>
      </c>
      <c r="B119" s="7">
        <v>39997083</v>
      </c>
      <c r="C119" s="7">
        <v>39154695</v>
      </c>
      <c r="D119" s="7">
        <v>39931163</v>
      </c>
      <c r="E119" s="7">
        <v>40984623</v>
      </c>
      <c r="F119" s="7">
        <v>41166772</v>
      </c>
      <c r="G119" s="7">
        <v>40906885</v>
      </c>
      <c r="H119" s="7">
        <v>41383043</v>
      </c>
      <c r="I119" s="7">
        <v>41765768</v>
      </c>
      <c r="J119" s="7">
        <v>42178133</v>
      </c>
      <c r="K119" s="7">
        <v>43167082</v>
      </c>
      <c r="L119" s="7">
        <v>43228077</v>
      </c>
      <c r="M119" s="12">
        <v>42879916</v>
      </c>
      <c r="N119" s="14"/>
      <c r="O119" s="6" t="s">
        <v>281</v>
      </c>
      <c r="P119" s="2">
        <v>43177402</v>
      </c>
      <c r="Q119" s="2">
        <v>43845545</v>
      </c>
    </row>
    <row r="120" spans="1:27" ht="14.860596359871428" customHeight="1">
      <c r="A120" s="1" t="s">
        <v>282</v>
      </c>
      <c r="B120" s="7">
        <v>35966574</v>
      </c>
      <c r="C120" s="7">
        <v>35108116</v>
      </c>
      <c r="D120" s="7">
        <v>34976448</v>
      </c>
      <c r="E120" s="7">
        <v>35292705</v>
      </c>
      <c r="F120" s="7">
        <v>35977010</v>
      </c>
      <c r="G120" s="7">
        <v>35928714</v>
      </c>
      <c r="H120" s="7">
        <v>36533040</v>
      </c>
      <c r="I120" s="7">
        <v>36763415</v>
      </c>
      <c r="J120" s="7">
        <v>36706258</v>
      </c>
      <c r="K120" s="7">
        <v>37487832</v>
      </c>
      <c r="L120" s="7">
        <v>37583816</v>
      </c>
      <c r="M120" s="12">
        <v>37268150</v>
      </c>
      <c r="N120" s="14"/>
      <c r="O120" s="6" t="s">
        <v>282</v>
      </c>
      <c r="P120" s="2">
        <v>37890261</v>
      </c>
      <c r="Q120" s="2">
        <v>38316837.29</v>
      </c>
    </row>
    <row r="121" spans="1:27" ht="17.780745628728557" customHeight="1">
      <c r="A121" s="1" t="s">
        <v>283</v>
      </c>
      <c r="B121" s="7">
        <v>6722949</v>
      </c>
      <c r="C121" s="7">
        <v>6697896</v>
      </c>
      <c r="D121" s="7">
        <v>6599612</v>
      </c>
      <c r="E121" s="7">
        <v>6797719</v>
      </c>
      <c r="F121" s="7">
        <v>6816498</v>
      </c>
      <c r="G121" s="7">
        <v>6675929</v>
      </c>
      <c r="H121" s="7">
        <v>6767640</v>
      </c>
      <c r="I121" s="7">
        <v>6845855</v>
      </c>
      <c r="J121" s="7">
        <v>6918901</v>
      </c>
      <c r="K121" s="7">
        <v>7152923</v>
      </c>
      <c r="L121" s="7">
        <v>7191277</v>
      </c>
      <c r="M121" s="12"/>
      <c r="N121" s="14"/>
      <c r="O121" s="6" t="s">
        <v>283</v>
      </c>
      <c r="P121" s="2">
        <v>2159039</v>
      </c>
    </row>
    <row r="122" spans="1:27" ht="15.805134356811928" customHeight="1">
      <c r="A122" s="1" t="s">
        <v>284</v>
      </c>
      <c r="B122" s="7">
        <v>41336885</v>
      </c>
      <c r="C122" s="7">
        <v>40307700</v>
      </c>
      <c r="D122" s="7">
        <v>40565507</v>
      </c>
      <c r="E122" s="7">
        <v>41378113</v>
      </c>
      <c r="F122" s="7">
        <v>42231529</v>
      </c>
      <c r="G122" s="7">
        <v>42170079</v>
      </c>
      <c r="H122" s="7">
        <v>42692787</v>
      </c>
      <c r="I122" s="7">
        <v>43095834</v>
      </c>
      <c r="J122" s="7">
        <v>42960397</v>
      </c>
      <c r="K122" s="7">
        <v>44320455</v>
      </c>
      <c r="L122" s="7">
        <v>43794521</v>
      </c>
      <c r="M122" s="12">
        <v>43970576</v>
      </c>
      <c r="N122" s="14"/>
      <c r="O122" s="6" t="s">
        <v>284</v>
      </c>
      <c r="P122" s="2">
        <v>43944136</v>
      </c>
      <c r="Q122" s="2">
        <v>44268443</v>
      </c>
    </row>
    <row r="123" spans="1:27" ht="15.31144823240417" customHeight="1">
      <c r="A123" s="1" t="s">
        <v>285</v>
      </c>
      <c r="B123" s="7">
        <v>8039752</v>
      </c>
      <c r="C123" s="7">
        <v>7794192</v>
      </c>
      <c r="D123" s="7">
        <v>7625389</v>
      </c>
      <c r="E123" s="7">
        <v>7350165</v>
      </c>
      <c r="F123" s="7">
        <v>7393152</v>
      </c>
      <c r="G123" s="7">
        <v>7269973</v>
      </c>
      <c r="H123" s="7">
        <v>7411276</v>
      </c>
      <c r="I123" s="7">
        <v>7444682</v>
      </c>
      <c r="J123" s="7">
        <v>7454153</v>
      </c>
      <c r="K123" s="7">
        <v>7783166</v>
      </c>
      <c r="L123" s="7">
        <v>7651831</v>
      </c>
      <c r="M123" s="12">
        <v>7650127</v>
      </c>
      <c r="N123" s="14"/>
      <c r="O123" s="6" t="s">
        <v>285</v>
      </c>
      <c r="P123" s="2">
        <v>7655084</v>
      </c>
      <c r="Q123" s="2">
        <v>7729843</v>
      </c>
    </row>
    <row r="124" spans="1:27" ht="15.31144823240417" customHeight="1">
      <c r="A124" s="30" t="s">
        <v>286</v>
      </c>
      <c r="B124" s="7">
        <v>6528221</v>
      </c>
      <c r="C124" s="7">
        <v>6500689</v>
      </c>
      <c r="D124" s="7">
        <v>6838909</v>
      </c>
      <c r="E124" s="7">
        <v>6642599</v>
      </c>
      <c r="F124" s="7">
        <v>6636301</v>
      </c>
      <c r="G124" s="7">
        <v>6434217</v>
      </c>
      <c r="H124" s="7">
        <v>6555005</v>
      </c>
      <c r="I124" s="7">
        <v>6673620</v>
      </c>
      <c r="J124" s="7">
        <v>6812605</v>
      </c>
      <c r="K124" s="7">
        <v>7059908</v>
      </c>
      <c r="L124" s="7">
        <v>6759330</v>
      </c>
      <c r="M124" s="12">
        <v>6621632</v>
      </c>
      <c r="N124" s="14"/>
      <c r="O124" s="31" t="s">
        <v>286</v>
      </c>
      <c r="P124" s="2">
        <v>7248279</v>
      </c>
      <c r="Q124" s="2">
        <v>7168357</v>
      </c>
    </row>
    <row r="125" spans="1:27" ht="14.817298198168524" customHeight="1">
      <c r="A125" s="1" t="s">
        <v>287</v>
      </c>
      <c r="B125" s="7">
        <v>14001804</v>
      </c>
      <c r="C125" s="7">
        <v>14065888</v>
      </c>
      <c r="D125" s="7">
        <v>14219104</v>
      </c>
      <c r="E125" s="7">
        <v>14535543</v>
      </c>
      <c r="F125" s="7">
        <v>14338170</v>
      </c>
      <c r="G125" s="7">
        <v>14458839</v>
      </c>
      <c r="H125" s="7">
        <v>14714848</v>
      </c>
      <c r="I125" s="7">
        <v>14901698</v>
      </c>
      <c r="J125" s="7">
        <v>15260941</v>
      </c>
      <c r="K125" s="7">
        <v>15567456</v>
      </c>
      <c r="L125" s="7">
        <v>15637507</v>
      </c>
      <c r="M125" s="12">
        <v>15893999</v>
      </c>
      <c r="N125" s="14"/>
      <c r="O125" s="6" t="s">
        <v>287</v>
      </c>
      <c r="P125" s="2">
        <v>16018591</v>
      </c>
      <c r="Q125" s="2">
        <v>16227259.4</v>
      </c>
    </row>
    <row r="126" spans="1:27" ht="17.780745628728862" customHeight="1">
      <c r="A126" s="1" t="s">
        <v>288</v>
      </c>
      <c r="B126" s="7">
        <v>2121448</v>
      </c>
      <c r="C126" s="7">
        <v>2002412</v>
      </c>
      <c r="D126" s="7">
        <v>1964557</v>
      </c>
      <c r="E126" s="7">
        <v>1994638</v>
      </c>
      <c r="F126" s="7">
        <v>1985863</v>
      </c>
      <c r="G126" s="7">
        <v>1924290</v>
      </c>
      <c r="H126" s="7">
        <v>1908872</v>
      </c>
      <c r="I126" s="7">
        <v>1886727</v>
      </c>
      <c r="J126" s="7">
        <v>1783241</v>
      </c>
      <c r="K126" s="7">
        <v>1786243</v>
      </c>
      <c r="L126" s="7">
        <v>1793626</v>
      </c>
      <c r="M126" s="12">
        <v>1771554</v>
      </c>
      <c r="N126" s="14"/>
      <c r="O126" s="6" t="s">
        <v>288</v>
      </c>
      <c r="P126" s="2">
        <v>1807457</v>
      </c>
      <c r="Q126" s="2">
        <v>1788850</v>
      </c>
    </row>
    <row r="127" spans="1:27" ht="14.817277849712505" customHeight="1">
      <c r="A127" s="1" t="s">
        <v>289</v>
      </c>
      <c r="B127" s="7">
        <v>61380278</v>
      </c>
      <c r="C127" s="7">
        <v>60829846</v>
      </c>
      <c r="D127" s="7">
        <v>60651341</v>
      </c>
      <c r="E127" s="7">
        <v>61813202</v>
      </c>
      <c r="F127" s="7">
        <v>62380074</v>
      </c>
      <c r="G127" s="7">
        <v>62731617</v>
      </c>
      <c r="H127" s="7">
        <v>63361077</v>
      </c>
      <c r="I127" s="7">
        <v>63670722</v>
      </c>
      <c r="J127" s="7">
        <v>65250790</v>
      </c>
      <c r="K127" s="7">
        <v>66576757</v>
      </c>
      <c r="L127" s="7">
        <v>66788973</v>
      </c>
      <c r="M127" s="12">
        <v>67489922</v>
      </c>
      <c r="N127" s="14"/>
      <c r="O127" s="6" t="s">
        <v>289</v>
      </c>
      <c r="P127" s="2">
        <v>67581784</v>
      </c>
      <c r="Q127" s="2">
        <v>6461907</v>
      </c>
    </row>
    <row r="128" spans="1:27">
      <c r="A128" s="1" t="s">
        <v>290</v>
      </c>
      <c r="B128" s="7">
        <v>58384079</v>
      </c>
      <c r="C128" s="7">
        <v>54754771</v>
      </c>
      <c r="D128" s="7">
        <v>55350591</v>
      </c>
      <c r="E128" s="7">
        <v>56747669</v>
      </c>
      <c r="F128" s="7">
        <v>56897672</v>
      </c>
      <c r="G128" s="7">
        <v>57484803</v>
      </c>
      <c r="H128" s="7">
        <v>58064957</v>
      </c>
      <c r="I128" s="7">
        <v>58188920</v>
      </c>
      <c r="J128" s="7">
        <v>59181374</v>
      </c>
      <c r="K128" s="7">
        <v>61005920</v>
      </c>
      <c r="L128" s="7">
        <v>60841871</v>
      </c>
      <c r="M128" s="12">
        <v>61620463</v>
      </c>
      <c r="N128" s="14"/>
      <c r="O128" s="6" t="s">
        <v>290</v>
      </c>
      <c r="P128" s="2">
        <v>62215020</v>
      </c>
      <c r="Q128" s="2">
        <v>63487492</v>
      </c>
    </row>
    <row r="129" spans="1:27" ht="16.118837431838983" customHeight="1">
      <c r="A129" s="1" t="s">
        <v>291</v>
      </c>
      <c r="B129" s="7">
        <v>14183825</v>
      </c>
      <c r="C129" s="7">
        <v>14063730</v>
      </c>
      <c r="D129" s="7">
        <v>14141029</v>
      </c>
      <c r="E129" s="7">
        <v>14431421</v>
      </c>
      <c r="F129" s="7">
        <v>14753419</v>
      </c>
      <c r="G129" s="7">
        <v>14805950</v>
      </c>
      <c r="H129" s="7">
        <v>14612064</v>
      </c>
      <c r="I129" s="7">
        <v>14714042</v>
      </c>
      <c r="J129" s="7">
        <v>14922064</v>
      </c>
      <c r="K129" s="7">
        <v>15294324</v>
      </c>
      <c r="L129" s="7">
        <v>15411132</v>
      </c>
      <c r="M129" s="12">
        <v>15670564</v>
      </c>
      <c r="N129" s="14"/>
      <c r="O129" s="6" t="s">
        <v>291</v>
      </c>
      <c r="P129" s="2">
        <v>15710175</v>
      </c>
      <c r="Q129" s="2">
        <v>15823950.74</v>
      </c>
    </row>
    <row r="130" spans="1:27" ht="15.311195929033905" customHeight="1">
      <c r="A130" s="1" t="s">
        <v>292</v>
      </c>
      <c r="B130" s="7">
        <v>18439291</v>
      </c>
      <c r="C130" s="7">
        <v>18158051</v>
      </c>
      <c r="D130" s="7">
        <v>18009208</v>
      </c>
      <c r="E130" s="7">
        <v>18127423</v>
      </c>
      <c r="F130" s="7">
        <v>18090875</v>
      </c>
      <c r="G130" s="7">
        <v>17901056</v>
      </c>
      <c r="H130" s="7">
        <v>18112315</v>
      </c>
      <c r="I130" s="7">
        <v>18263079</v>
      </c>
      <c r="J130" s="7">
        <v>18394701</v>
      </c>
      <c r="K130" s="7">
        <v>18709732</v>
      </c>
      <c r="L130" s="7">
        <v>18748517</v>
      </c>
      <c r="M130" s="12">
        <v>19022469</v>
      </c>
      <c r="N130" s="14"/>
      <c r="O130" s="6" t="s">
        <v>292</v>
      </c>
      <c r="P130" s="2">
        <v>19014800</v>
      </c>
      <c r="Q130" s="2">
        <v>19171723</v>
      </c>
    </row>
    <row r="131" spans="1:27" ht="16.792950166998406" customHeight="1">
      <c r="A131" s="1" t="s">
        <v>293</v>
      </c>
      <c r="B131" s="7">
        <v>2401074</v>
      </c>
      <c r="C131" s="7">
        <v>2351517</v>
      </c>
      <c r="D131" s="7">
        <v>2339208</v>
      </c>
      <c r="E131" s="7">
        <v>2412642</v>
      </c>
      <c r="F131" s="7">
        <v>2433333</v>
      </c>
      <c r="G131" s="7">
        <v>2570250</v>
      </c>
      <c r="H131" s="7">
        <v>2596878</v>
      </c>
      <c r="I131" s="7">
        <v>2592512</v>
      </c>
      <c r="J131" s="7">
        <v>2605214</v>
      </c>
      <c r="K131" s="7">
        <v>2684136</v>
      </c>
      <c r="L131" s="7">
        <v>2786213</v>
      </c>
      <c r="M131" s="12">
        <v>2829158</v>
      </c>
      <c r="N131" s="14"/>
      <c r="O131" s="6" t="s">
        <v>293</v>
      </c>
      <c r="P131" s="2">
        <v>2875258</v>
      </c>
      <c r="Q131" s="2">
        <v>2902000</v>
      </c>
    </row>
    <row r="132" spans="1:27" ht="16.79292981854208" customHeight="1">
      <c r="A132" s="1" t="s">
        <v>294</v>
      </c>
      <c r="B132" s="7">
        <v>25728876</v>
      </c>
      <c r="C132" s="7">
        <v>26038406</v>
      </c>
      <c r="D132" s="7">
        <v>26069100</v>
      </c>
      <c r="E132" s="7">
        <v>26475572</v>
      </c>
      <c r="F132" s="7">
        <v>26656979</v>
      </c>
      <c r="G132" s="7">
        <v>26877043</v>
      </c>
      <c r="H132" s="7">
        <v>27180613</v>
      </c>
      <c r="I132" s="7">
        <v>27504910</v>
      </c>
      <c r="J132" s="7">
        <v>27713803</v>
      </c>
      <c r="K132" s="7">
        <v>28318764</v>
      </c>
      <c r="L132" s="7">
        <v>28375835</v>
      </c>
      <c r="M132" s="12">
        <v>28728227</v>
      </c>
      <c r="N132" s="14"/>
      <c r="O132" s="6" t="s">
        <v>294</v>
      </c>
      <c r="P132" s="2">
        <v>29688346</v>
      </c>
      <c r="Q132" s="2">
        <v>2986354</v>
      </c>
    </row>
    <row r="133" spans="1:27">
      <c r="A133" s="1" t="s">
        <v>295</v>
      </c>
      <c r="B133" s="7">
        <v>18606930</v>
      </c>
      <c r="C133" s="7">
        <v>18840535</v>
      </c>
      <c r="D133" s="7">
        <v>23038430</v>
      </c>
      <c r="E133" s="7">
        <v>22535954</v>
      </c>
      <c r="F133" s="7">
        <v>22317850</v>
      </c>
      <c r="G133" s="7">
        <v>21339731</v>
      </c>
      <c r="H133" s="7">
        <v>21746677</v>
      </c>
      <c r="I133" s="7">
        <v>21861794</v>
      </c>
      <c r="J133" s="7">
        <v>22932544</v>
      </c>
      <c r="K133" s="7">
        <v>23125164</v>
      </c>
      <c r="L133" s="7">
        <v>22959673</v>
      </c>
      <c r="M133" s="12">
        <v>23434273</v>
      </c>
      <c r="N133" s="14"/>
      <c r="O133" s="6" t="s">
        <v>295</v>
      </c>
      <c r="P133" s="2">
        <v>23131460</v>
      </c>
      <c r="Q133" s="2">
        <v>23203623</v>
      </c>
    </row>
    <row r="134" spans="1:27" ht="14.646760237694556" customHeight="1">
      <c r="A134" s="1" t="s">
        <v>296</v>
      </c>
      <c r="B134" s="7">
        <v>9061780</v>
      </c>
      <c r="C134" s="7">
        <v>8907530</v>
      </c>
      <c r="D134" s="7">
        <v>9050061</v>
      </c>
      <c r="E134" s="7">
        <v>9299805</v>
      </c>
      <c r="F134" s="7">
        <v>9376232</v>
      </c>
      <c r="G134" s="7">
        <v>9354843</v>
      </c>
      <c r="H134" s="7">
        <v>9463375</v>
      </c>
      <c r="I134" s="7">
        <v>9613891</v>
      </c>
      <c r="J134" s="7">
        <v>9665760</v>
      </c>
      <c r="K134" s="7">
        <v>9707832</v>
      </c>
      <c r="L134" s="7">
        <v>9721350</v>
      </c>
      <c r="M134" s="12">
        <v>9868327</v>
      </c>
      <c r="N134" s="14"/>
      <c r="O134" s="6" t="s">
        <v>296</v>
      </c>
      <c r="P134" s="2">
        <v>9900021</v>
      </c>
      <c r="Q134" s="2">
        <v>9904149</v>
      </c>
    </row>
    <row r="135" spans="1:27" ht="16.79292981854208" customHeight="1">
      <c r="A135" s="1" t="s">
        <v>297</v>
      </c>
      <c r="B135" s="2">
        <v>2169275.38</v>
      </c>
      <c r="C135" s="2">
        <v>2151596.36</v>
      </c>
      <c r="D135" s="7">
        <v>2160686.9</v>
      </c>
      <c r="E135" s="7">
        <v>2156201.89</v>
      </c>
      <c r="F135" s="7">
        <v>2166893.35</v>
      </c>
      <c r="G135" s="7">
        <v>2159510.97</v>
      </c>
      <c r="H135" s="7">
        <v>2171176.95</v>
      </c>
      <c r="I135" s="7">
        <v>2180728.66</v>
      </c>
      <c r="J135" s="7">
        <v>2179845.96</v>
      </c>
      <c r="K135" s="7">
        <v>2202682.95</v>
      </c>
      <c r="L135" s="7">
        <v>2149262.83</v>
      </c>
      <c r="M135" s="12">
        <v>2185345.04</v>
      </c>
      <c r="N135" s="14"/>
      <c r="O135" s="6" t="s">
        <v>297</v>
      </c>
      <c r="P135" s="2">
        <v>2191075</v>
      </c>
      <c r="Q135" s="2">
        <v>2183510.63</v>
      </c>
    </row>
    <row r="136" spans="1:27">
      <c r="A136" s="8"/>
      <c r="D136" s="3"/>
      <c r="E136" s="3"/>
      <c r="F136" s="3"/>
      <c r="G136" s="3"/>
      <c r="H136" s="3"/>
      <c r="I136" s="3"/>
      <c r="J136" s="3"/>
      <c r="K136" s="3"/>
      <c r="L136" s="3"/>
      <c r="M136" s="12">
        <f>sum(M88:M135)</f>
        <v>621864020.97</v>
      </c>
      <c r="N136" s="14"/>
      <c r="O136" s="11" t="s">
        <v>155</v>
      </c>
      <c r="P136" s="2">
        <f>sum(P135:P88)</f>
        <v>618935793.49</v>
      </c>
    </row>
    <row r="137" spans="1:27">
      <c r="A137" s="8"/>
      <c r="D137" s="3"/>
      <c r="E137" s="3"/>
      <c r="F137" s="3"/>
      <c r="G137" s="3"/>
      <c r="H137" s="3"/>
      <c r="I137" s="3"/>
      <c r="J137" s="3"/>
      <c r="K137" s="3"/>
      <c r="L137" s="3"/>
      <c r="M137" s="4"/>
      <c r="N137" s="14"/>
      <c r="O137" s="11"/>
    </row>
    <row r="138" spans="1:27">
      <c r="A138" s="8" t="s">
        <v>298</v>
      </c>
      <c r="D138" s="3"/>
      <c r="E138" s="3" t="s">
        <v>299</v>
      </c>
      <c r="F138" s="3"/>
      <c r="G138" s="3"/>
      <c r="H138" s="3"/>
      <c r="I138" s="3"/>
      <c r="J138" s="3"/>
      <c r="K138" s="3"/>
      <c r="L138" s="3"/>
      <c r="M138" s="4"/>
      <c r="N138" s="14"/>
      <c r="O138" s="11"/>
    </row>
    <row r="139" spans="1:27">
      <c r="A139" s="8" t="s">
        <v>300</v>
      </c>
      <c r="B139" t="s">
        <v>301</v>
      </c>
      <c r="C139" t="s">
        <v>302</v>
      </c>
      <c r="D139" s="3"/>
      <c r="E139" s="3" t="s">
        <v>300</v>
      </c>
      <c r="F139" s="3" t="s">
        <v>301</v>
      </c>
      <c r="G139" s="3" t="s">
        <v>303</v>
      </c>
      <c r="H139" s="3"/>
      <c r="I139" s="3"/>
      <c r="J139" s="3"/>
      <c r="K139" s="3"/>
      <c r="L139" s="3"/>
      <c r="M139" s="4"/>
      <c r="N139" s="14"/>
      <c r="O139" s="11"/>
    </row>
    <row r="140" spans="1:27">
      <c r="A140" s="8">
        <v>1</v>
      </c>
      <c r="B140" t="s">
        <v>304</v>
      </c>
      <c r="C140" s="2">
        <v>21316780</v>
      </c>
      <c r="D140" s="3"/>
      <c r="E140" s="3">
        <v>1</v>
      </c>
      <c r="F140" s="3" t="s">
        <v>304</v>
      </c>
      <c r="G140" s="3" t="s">
        <v>305</v>
      </c>
      <c r="H140" s="3"/>
      <c r="I140" s="3"/>
      <c r="J140" s="3"/>
      <c r="K140" s="3"/>
      <c r="L140" s="3"/>
      <c r="M140" s="4"/>
      <c r="N140" s="14"/>
      <c r="O140" s="11"/>
    </row>
    <row r="141" spans="1:27">
      <c r="A141" s="8">
        <v>2</v>
      </c>
      <c r="B141" t="s">
        <v>306</v>
      </c>
      <c r="C141" s="2">
        <v>20083344</v>
      </c>
      <c r="D141" s="3"/>
      <c r="E141" s="3">
        <v>2</v>
      </c>
      <c r="F141" s="3" t="s">
        <v>306</v>
      </c>
      <c r="G141" s="3" t="s">
        <v>307</v>
      </c>
      <c r="H141" s="3"/>
      <c r="I141" s="3"/>
      <c r="J141" s="3"/>
      <c r="K141" s="3"/>
      <c r="L141" s="3"/>
      <c r="M141" s="4"/>
      <c r="N141" s="14"/>
      <c r="O141" s="11"/>
    </row>
    <row r="142" spans="1:27">
      <c r="A142" s="8">
        <v>3</v>
      </c>
      <c r="B142" t="s">
        <v>308</v>
      </c>
      <c r="C142" s="2">
        <v>18861446</v>
      </c>
      <c r="D142" s="3"/>
      <c r="E142" s="3">
        <v>3</v>
      </c>
      <c r="F142" s="3" t="s">
        <v>308</v>
      </c>
      <c r="G142" s="3" t="s">
        <v>309</v>
      </c>
      <c r="H142" s="3"/>
      <c r="I142" s="3"/>
      <c r="J142" s="3"/>
      <c r="K142" s="3"/>
      <c r="L142" s="3"/>
      <c r="M142" s="4"/>
      <c r="N142" s="14"/>
      <c r="O142" s="11"/>
    </row>
    <row r="143" spans="1:27">
      <c r="A143" s="8">
        <v>4</v>
      </c>
      <c r="B143" t="s">
        <v>310</v>
      </c>
      <c r="C143" s="2">
        <v>17308605</v>
      </c>
      <c r="D143" s="3"/>
      <c r="E143" s="3">
        <v>4</v>
      </c>
      <c r="F143" s="3" t="s">
        <v>310</v>
      </c>
      <c r="G143" s="3" t="s">
        <v>311</v>
      </c>
      <c r="H143" s="3"/>
      <c r="I143" s="3"/>
      <c r="J143" s="3"/>
      <c r="K143" s="3"/>
      <c r="L143" s="3"/>
      <c r="M143" s="4"/>
      <c r="N143" s="14"/>
      <c r="O143" s="11"/>
    </row>
    <row r="144" spans="1:27">
      <c r="A144" s="8">
        <v>5</v>
      </c>
      <c r="B144" t="s">
        <v>312</v>
      </c>
      <c r="C144" s="2">
        <v>15158956</v>
      </c>
      <c r="D144" s="3"/>
      <c r="E144" s="3">
        <v>5</v>
      </c>
      <c r="F144" s="3" t="s">
        <v>313</v>
      </c>
      <c r="G144" s="3" t="s">
        <v>314</v>
      </c>
      <c r="H144" s="3"/>
      <c r="I144" s="3"/>
      <c r="J144" s="3"/>
      <c r="K144" s="3"/>
      <c r="L144" s="3"/>
      <c r="M144" s="4"/>
      <c r="N144" s="14"/>
      <c r="O144" s="11"/>
    </row>
    <row r="145" spans="1:27">
      <c r="A145" s="8">
        <v>6</v>
      </c>
      <c r="B145" t="s">
        <v>315</v>
      </c>
      <c r="C145" s="2">
        <v>12697517</v>
      </c>
      <c r="D145" s="3"/>
      <c r="E145" s="3">
        <v>6</v>
      </c>
      <c r="F145" s="3" t="s">
        <v>312</v>
      </c>
      <c r="G145" s="3" t="s">
        <v>316</v>
      </c>
      <c r="H145" s="3"/>
      <c r="I145" s="3"/>
      <c r="J145" s="3"/>
      <c r="K145" s="3"/>
      <c r="L145" s="3"/>
      <c r="M145" s="4"/>
      <c r="N145" s="14"/>
      <c r="O145" s="11"/>
    </row>
    <row r="146" spans="1:27">
      <c r="A146" s="8">
        <v>7</v>
      </c>
      <c r="B146" t="s">
        <v>317</v>
      </c>
      <c r="C146" s="2">
        <v>8386955</v>
      </c>
      <c r="D146" s="3"/>
      <c r="E146" s="3">
        <v>7</v>
      </c>
      <c r="F146" s="3" t="s">
        <v>315</v>
      </c>
      <c r="G146" s="3" t="s">
        <v>318</v>
      </c>
      <c r="H146" s="3"/>
      <c r="I146" s="3"/>
      <c r="J146" s="3"/>
      <c r="K146" s="3"/>
      <c r="L146" s="3"/>
      <c r="M146" s="4"/>
      <c r="N146" s="14"/>
      <c r="O146" s="11"/>
    </row>
    <row r="147" spans="1:27">
      <c r="A147" s="8">
        <v>8</v>
      </c>
      <c r="B147" t="s">
        <v>319</v>
      </c>
      <c r="C147" s="2">
        <v>7164796</v>
      </c>
      <c r="D147" s="3"/>
      <c r="E147" s="3">
        <v>8</v>
      </c>
      <c r="F147" s="3" t="s">
        <v>319</v>
      </c>
      <c r="G147" s="3" t="s">
        <v>320</v>
      </c>
      <c r="H147" s="3"/>
      <c r="I147" s="3"/>
      <c r="J147" s="3"/>
      <c r="K147" s="3"/>
      <c r="L147" s="3"/>
      <c r="M147" s="4"/>
      <c r="N147" s="14"/>
      <c r="O147" s="11"/>
    </row>
    <row r="148" spans="1:27">
      <c r="A148" s="8">
        <v>9</v>
      </c>
      <c r="B148" t="s">
        <v>321</v>
      </c>
      <c r="C148" s="2">
        <v>5851013</v>
      </c>
      <c r="D148" s="3"/>
      <c r="E148" s="3">
        <v>9</v>
      </c>
      <c r="F148" s="3" t="s">
        <v>317</v>
      </c>
      <c r="G148" s="3" t="s">
        <v>322</v>
      </c>
      <c r="H148" s="3"/>
      <c r="I148" s="3"/>
      <c r="J148" s="3"/>
      <c r="K148" s="3"/>
      <c r="L148" s="3"/>
      <c r="M148" s="4"/>
      <c r="N148" s="14"/>
      <c r="O148" s="11"/>
    </row>
    <row r="149" spans="1:27">
      <c r="A149" s="8">
        <v>10</v>
      </c>
      <c r="B149" t="s">
        <v>323</v>
      </c>
      <c r="C149" s="2">
        <v>5323553</v>
      </c>
      <c r="D149" s="3"/>
      <c r="E149" s="3">
        <v>10</v>
      </c>
      <c r="F149" s="3" t="s">
        <v>321</v>
      </c>
      <c r="G149" s="3" t="s">
        <v>324</v>
      </c>
      <c r="H149" s="3"/>
      <c r="I149" s="3"/>
      <c r="J149" s="3"/>
      <c r="K149" s="3"/>
      <c r="L149" s="3"/>
      <c r="M149" s="4"/>
      <c r="N149" s="14"/>
      <c r="O149" s="11"/>
    </row>
    <row r="150" spans="1:27">
      <c r="A150" s="8"/>
      <c r="D150" s="3"/>
      <c r="E150" s="3" t="s">
        <v>325</v>
      </c>
      <c r="F150" s="3"/>
      <c r="G150" s="3"/>
      <c r="H150" s="3"/>
      <c r="I150" s="3"/>
      <c r="J150" s="3"/>
      <c r="K150" s="3"/>
      <c r="L150" s="3"/>
      <c r="M150" s="4"/>
      <c r="N150" s="14"/>
      <c r="O150" s="11"/>
    </row>
    <row r="151" spans="1:27">
      <c r="A151" s="8" t="s">
        <v>326</v>
      </c>
      <c r="D151" s="3"/>
      <c r="E151" s="3"/>
      <c r="F151" s="1" t="s">
        <v>289</v>
      </c>
      <c r="G151" s="2">
        <v>67581784</v>
      </c>
      <c r="H151" s="3"/>
      <c r="I151" s="3"/>
      <c r="J151" s="3"/>
      <c r="K151" s="3"/>
      <c r="L151" s="3"/>
      <c r="M151" s="4"/>
      <c r="N151" s="14"/>
      <c r="O151" s="11"/>
    </row>
    <row r="152" spans="1:27">
      <c r="A152" s="8" t="s">
        <v>300</v>
      </c>
      <c r="B152" t="s">
        <v>301</v>
      </c>
      <c r="C152" t="s">
        <v>302</v>
      </c>
      <c r="D152" s="3"/>
      <c r="E152" s="3"/>
      <c r="F152" s="1" t="s">
        <v>255</v>
      </c>
      <c r="G152" s="2">
        <v>65633896</v>
      </c>
      <c r="H152" s="3"/>
      <c r="I152" s="3"/>
      <c r="J152" s="3"/>
      <c r="K152" s="3"/>
      <c r="L152" s="3"/>
      <c r="M152" s="4"/>
      <c r="N152" s="14"/>
      <c r="O152" s="11"/>
    </row>
    <row r="153" spans="1:27">
      <c r="A153" s="8">
        <v>1</v>
      </c>
      <c r="B153" t="s">
        <v>327</v>
      </c>
      <c r="C153" s="2">
        <v>67489922</v>
      </c>
      <c r="D153" s="3"/>
      <c r="E153" s="3"/>
      <c r="F153" s="1" t="s">
        <v>290</v>
      </c>
      <c r="G153" s="2">
        <v>62215020</v>
      </c>
      <c r="H153" s="3"/>
      <c r="I153" s="3"/>
      <c r="J153" s="3"/>
      <c r="K153" s="3"/>
      <c r="L153" s="3"/>
      <c r="M153" s="4"/>
      <c r="N153" s="14"/>
      <c r="O153" s="11"/>
    </row>
    <row r="154" spans="1:27">
      <c r="A154" s="8">
        <v>2</v>
      </c>
      <c r="B154" t="s">
        <v>328</v>
      </c>
      <c r="C154" s="2">
        <v>65469220</v>
      </c>
      <c r="D154" s="3"/>
      <c r="E154" s="3"/>
      <c r="F154" s="1" t="s">
        <v>284</v>
      </c>
      <c r="G154" s="2">
        <v>43944136</v>
      </c>
      <c r="H154" s="3"/>
      <c r="I154" s="3"/>
      <c r="J154" s="3"/>
      <c r="K154" s="3"/>
      <c r="L154" s="3"/>
      <c r="M154" s="4"/>
      <c r="N154" s="14"/>
      <c r="O154" s="11"/>
    </row>
    <row r="155" spans="1:27">
      <c r="A155" s="8">
        <v>3</v>
      </c>
      <c r="B155" t="s">
        <v>329</v>
      </c>
      <c r="C155" s="2">
        <v>61620463</v>
      </c>
      <c r="D155" s="3"/>
      <c r="E155" s="3"/>
      <c r="F155" s="1" t="s">
        <v>281</v>
      </c>
      <c r="G155" s="2">
        <v>43177402</v>
      </c>
      <c r="H155" s="3"/>
      <c r="I155" s="3"/>
      <c r="J155" s="3"/>
      <c r="K155" s="3"/>
      <c r="L155" s="3"/>
      <c r="M155" s="4"/>
      <c r="N155" s="14"/>
      <c r="O155" s="11"/>
    </row>
    <row r="156" spans="1:27">
      <c r="A156" s="8">
        <v>4</v>
      </c>
      <c r="B156" t="s">
        <v>330</v>
      </c>
      <c r="C156" s="2">
        <v>43970576</v>
      </c>
      <c r="D156" s="3"/>
      <c r="E156" s="3"/>
      <c r="F156" s="1" t="s">
        <v>282</v>
      </c>
      <c r="G156" s="2">
        <v>37890261</v>
      </c>
      <c r="H156" s="3"/>
      <c r="I156" s="3"/>
      <c r="J156" s="3"/>
      <c r="K156" s="3"/>
      <c r="L156" s="3"/>
      <c r="M156" s="4"/>
      <c r="N156" s="14"/>
      <c r="O156" s="11"/>
    </row>
    <row r="157" spans="1:27">
      <c r="A157" s="8">
        <v>5</v>
      </c>
      <c r="B157" t="s">
        <v>331</v>
      </c>
      <c r="C157" s="2">
        <v>42879916</v>
      </c>
      <c r="D157" s="3"/>
      <c r="E157" s="3"/>
      <c r="F157" s="1" t="s">
        <v>250</v>
      </c>
      <c r="G157" s="2">
        <v>30028776.38</v>
      </c>
      <c r="H157" s="3"/>
      <c r="I157" s="3"/>
      <c r="J157" s="3"/>
      <c r="K157" s="3"/>
      <c r="L157" s="3"/>
      <c r="M157" s="4"/>
      <c r="N157" s="14"/>
      <c r="O157" s="11"/>
    </row>
    <row r="158" spans="1:27">
      <c r="A158" s="8">
        <v>6</v>
      </c>
      <c r="B158" t="s">
        <v>332</v>
      </c>
      <c r="C158" s="2">
        <v>37268150</v>
      </c>
      <c r="D158" s="3"/>
      <c r="E158" s="3"/>
      <c r="F158" s="1" t="s">
        <v>294</v>
      </c>
      <c r="G158" s="2">
        <v>29688346</v>
      </c>
      <c r="H158" s="3"/>
      <c r="I158" s="3"/>
      <c r="J158" s="3"/>
      <c r="K158" s="3"/>
      <c r="L158" s="3"/>
      <c r="M158" s="4"/>
      <c r="N158" s="14"/>
      <c r="O158" s="11"/>
    </row>
    <row r="159" spans="1:27">
      <c r="A159" s="8">
        <v>7</v>
      </c>
      <c r="B159" t="s">
        <v>333</v>
      </c>
      <c r="C159" s="2">
        <v>31480786</v>
      </c>
      <c r="D159" s="3"/>
      <c r="E159" s="3"/>
      <c r="F159" s="1" t="s">
        <v>280</v>
      </c>
      <c r="G159" s="2">
        <v>27519452</v>
      </c>
      <c r="H159" s="3"/>
      <c r="I159" s="3"/>
      <c r="J159" s="3"/>
      <c r="K159" s="3"/>
      <c r="L159" s="3"/>
      <c r="M159" s="4"/>
      <c r="N159" s="14"/>
      <c r="O159" s="11"/>
    </row>
    <row r="160" spans="1:27">
      <c r="A160" s="8">
        <v>8</v>
      </c>
      <c r="B160" t="s">
        <v>334</v>
      </c>
      <c r="C160" s="2">
        <v>28728227</v>
      </c>
      <c r="D160" s="3"/>
      <c r="E160" s="3"/>
      <c r="F160" s="1" t="s">
        <v>295</v>
      </c>
      <c r="G160" s="2">
        <v>23131460</v>
      </c>
      <c r="H160" s="3"/>
      <c r="I160" s="3"/>
      <c r="J160" s="3"/>
      <c r="K160" s="3"/>
      <c r="L160" s="3"/>
      <c r="M160" s="4"/>
      <c r="N160" s="14"/>
      <c r="O160" s="11"/>
    </row>
    <row r="161" spans="1:27">
      <c r="A161" s="8">
        <v>9</v>
      </c>
      <c r="B161" t="s">
        <v>335</v>
      </c>
      <c r="C161" s="2">
        <v>23434273</v>
      </c>
      <c r="D161" s="3"/>
      <c r="E161" s="3"/>
      <c r="F161" s="3"/>
      <c r="G161" s="3"/>
      <c r="H161" s="3"/>
      <c r="I161" s="3"/>
      <c r="J161" s="3"/>
      <c r="K161" s="3"/>
      <c r="L161" s="3"/>
      <c r="M161" s="4"/>
      <c r="N161" s="14"/>
      <c r="O161" s="11"/>
    </row>
    <row r="162" spans="1:27">
      <c r="A162" s="8">
        <v>10</v>
      </c>
      <c r="B162" t="s">
        <v>336</v>
      </c>
      <c r="C162" s="2">
        <v>21692630</v>
      </c>
      <c r="D162" s="3"/>
      <c r="E162" s="3"/>
      <c r="F162" s="3"/>
      <c r="G162" s="3"/>
      <c r="H162" s="3"/>
      <c r="I162" s="3"/>
      <c r="J162" s="3"/>
      <c r="K162" s="3"/>
      <c r="L162" s="3"/>
      <c r="M162" s="4"/>
      <c r="N162" s="14"/>
      <c r="O16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75"/>
  <sheetViews>
    <sheetView workbookViewId="0"/>
  </sheetViews>
  <sheetFormatPr defaultRowHeight="15"/>
  <cols>
    <col min="1" max="1" width="49.7109375" customWidth="1"/>
    <col min="2" max="2" width="14.42578125" customWidth="1"/>
    <col min="15" max="15" width="48.5703125" customWidth="1"/>
    <col min="17" max="17" width="21.42578125" customWidth="1"/>
  </cols>
  <sheetData>
    <row r="1" spans="1:28" ht="29.333333333333332" customHeight="1">
      <c r="A1" s="1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10</v>
      </c>
      <c r="L1" t="s">
        <v>11</v>
      </c>
      <c r="M1" s="8" t="s">
        <v>12</v>
      </c>
      <c r="N1" s="5">
        <v>2026</v>
      </c>
      <c r="O1" s="32" t="s">
        <v>0</v>
      </c>
      <c r="P1" s="7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4" t="s">
        <v>12</v>
      </c>
      <c r="AB1" s="3"/>
    </row>
    <row r="2" spans="1:28">
      <c r="A2" s="8" t="s">
        <v>13</v>
      </c>
      <c r="B2" s="3"/>
      <c r="C2" s="3"/>
      <c r="D2" s="3"/>
      <c r="E2" s="3"/>
      <c r="F2" s="3"/>
      <c r="G2" s="3"/>
      <c r="H2" s="3"/>
      <c r="I2" s="3"/>
      <c r="J2" s="3"/>
      <c r="M2" s="8"/>
      <c r="N2" s="10"/>
      <c r="O2" s="33" t="s">
        <v>13</v>
      </c>
    </row>
    <row r="3" spans="1:28">
      <c r="A3" s="1" t="s">
        <v>14</v>
      </c>
      <c r="B3" s="7"/>
      <c r="C3" s="3"/>
      <c r="D3" s="3"/>
      <c r="E3" s="3"/>
      <c r="F3" s="3"/>
      <c r="G3" s="3"/>
      <c r="H3" s="3"/>
      <c r="I3" s="3"/>
      <c r="J3" s="3"/>
      <c r="K3" s="2">
        <v>13461174</v>
      </c>
      <c r="L3" s="2">
        <v>13614118</v>
      </c>
      <c r="M3" s="1">
        <v>11636430</v>
      </c>
      <c r="N3" s="10"/>
      <c r="O3" s="32" t="s">
        <v>14</v>
      </c>
      <c r="P3" s="2">
        <v>12684265</v>
      </c>
      <c r="Q3" s="13">
        <v>12684265</v>
      </c>
    </row>
    <row r="4" spans="1:28">
      <c r="A4" s="1" t="s">
        <v>16</v>
      </c>
      <c r="B4" s="7">
        <v>263703</v>
      </c>
      <c r="C4" s="7">
        <v>263521</v>
      </c>
      <c r="D4" s="7">
        <v>260474</v>
      </c>
      <c r="E4" s="7">
        <v>263622</v>
      </c>
      <c r="F4" s="7">
        <v>265362</v>
      </c>
      <c r="G4" s="7">
        <v>270776</v>
      </c>
      <c r="H4" s="7">
        <v>275874</v>
      </c>
      <c r="I4" s="7">
        <v>280609</v>
      </c>
      <c r="J4" s="7">
        <v>287547</v>
      </c>
      <c r="K4" s="2">
        <v>296062</v>
      </c>
      <c r="L4" s="2">
        <v>296519</v>
      </c>
      <c r="M4" s="1">
        <v>303256</v>
      </c>
      <c r="N4" s="10"/>
      <c r="O4" s="32" t="s">
        <v>16</v>
      </c>
      <c r="P4" s="2">
        <v>298647.67</v>
      </c>
      <c r="Q4" s="2">
        <v>300358.02</v>
      </c>
    </row>
    <row r="5" spans="1:28">
      <c r="A5" s="1" t="s">
        <v>17</v>
      </c>
      <c r="B5" s="7">
        <v>225862</v>
      </c>
      <c r="C5" s="7">
        <v>226752</v>
      </c>
      <c r="D5" s="7">
        <v>266021</v>
      </c>
      <c r="E5" s="7">
        <v>271026</v>
      </c>
      <c r="F5" s="7">
        <v>270867</v>
      </c>
      <c r="G5" s="7">
        <v>278060</v>
      </c>
      <c r="H5" s="7">
        <v>280179</v>
      </c>
      <c r="I5" s="7">
        <v>283896</v>
      </c>
      <c r="J5" s="7">
        <v>288081</v>
      </c>
      <c r="K5" s="2">
        <v>290488</v>
      </c>
      <c r="L5" s="2">
        <v>290782</v>
      </c>
      <c r="M5" s="1">
        <v>290997</v>
      </c>
      <c r="N5" s="10"/>
      <c r="O5" s="32" t="s">
        <v>17</v>
      </c>
      <c r="P5" s="2">
        <v>294339</v>
      </c>
      <c r="Q5" s="2">
        <v>287075</v>
      </c>
    </row>
    <row r="6" spans="1:28">
      <c r="A6" s="1" t="s">
        <v>18</v>
      </c>
      <c r="B6" s="7">
        <v>8084075</v>
      </c>
      <c r="C6" s="3">
        <v>8220570</v>
      </c>
      <c r="D6" s="3">
        <v>8321495</v>
      </c>
      <c r="E6" s="3">
        <v>8085452</v>
      </c>
      <c r="F6" s="3">
        <v>8302525</v>
      </c>
      <c r="G6" s="3">
        <v>8473314</v>
      </c>
      <c r="H6" s="3">
        <v>8668141</v>
      </c>
      <c r="I6" s="3">
        <v>8914725</v>
      </c>
      <c r="J6" s="3">
        <v>9111841</v>
      </c>
      <c r="K6">
        <v>9044280</v>
      </c>
      <c r="L6">
        <v>9074730</v>
      </c>
      <c r="M6" s="1">
        <v>9242887</v>
      </c>
      <c r="N6" s="14"/>
      <c r="O6" s="32" t="s">
        <v>18</v>
      </c>
      <c r="P6" s="2">
        <v>9313346</v>
      </c>
      <c r="Q6" s="13">
        <v>9440328</v>
      </c>
    </row>
    <row r="7" spans="1:28">
      <c r="A7" s="1" t="s">
        <v>19</v>
      </c>
      <c r="B7" s="7">
        <v>215301</v>
      </c>
      <c r="C7" s="3">
        <v>216226</v>
      </c>
      <c r="D7" s="3">
        <v>217058</v>
      </c>
      <c r="E7" s="7">
        <v>218135</v>
      </c>
      <c r="F7" s="3">
        <v>217848</v>
      </c>
      <c r="G7" s="7">
        <v>221527</v>
      </c>
      <c r="H7" s="7">
        <v>225049</v>
      </c>
      <c r="I7" s="7">
        <v>225309</v>
      </c>
      <c r="J7" s="7">
        <v>226502</v>
      </c>
      <c r="K7" s="2">
        <v>227167</v>
      </c>
      <c r="L7" s="2">
        <v>227179</v>
      </c>
      <c r="M7" s="1">
        <v>229084</v>
      </c>
      <c r="N7" s="14"/>
      <c r="O7" s="32" t="s">
        <v>19</v>
      </c>
      <c r="P7" s="2">
        <v>231006.12</v>
      </c>
      <c r="Q7" s="2">
        <v>231479.85</v>
      </c>
    </row>
    <row r="8" spans="1:28">
      <c r="A8" s="15" t="s">
        <v>20</v>
      </c>
      <c r="B8" s="28" t="s">
        <v>21</v>
      </c>
      <c r="C8" s="18"/>
      <c r="D8" s="18"/>
      <c r="E8" s="18"/>
      <c r="F8" s="18"/>
      <c r="G8" s="18"/>
      <c r="H8" s="18"/>
      <c r="I8" s="18"/>
      <c r="J8" s="18"/>
      <c r="K8" s="17"/>
      <c r="L8" s="17"/>
      <c r="M8" s="34"/>
      <c r="N8" s="14"/>
      <c r="O8" s="35" t="s">
        <v>20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>
      <c r="A9" s="1" t="s">
        <v>22</v>
      </c>
      <c r="B9" s="7">
        <v>129736.15</v>
      </c>
      <c r="C9" s="7">
        <v>129414.8</v>
      </c>
      <c r="D9" s="7">
        <v>130237.71</v>
      </c>
      <c r="E9" s="7">
        <v>130371.28</v>
      </c>
      <c r="F9" s="7">
        <v>130329.61</v>
      </c>
      <c r="G9" s="7">
        <v>130228.1</v>
      </c>
      <c r="H9" s="7">
        <v>130261.79</v>
      </c>
      <c r="I9" s="7">
        <v>130735.55</v>
      </c>
      <c r="J9" s="7">
        <v>130917.09</v>
      </c>
      <c r="K9" s="2">
        <v>131384.17</v>
      </c>
      <c r="L9" s="2">
        <v>131212.72</v>
      </c>
      <c r="M9" s="1">
        <v>168612.32</v>
      </c>
      <c r="N9" s="14"/>
      <c r="O9" s="32" t="s">
        <v>22</v>
      </c>
      <c r="P9" s="2">
        <v>168724.22</v>
      </c>
      <c r="Q9" s="2">
        <v>167969.19</v>
      </c>
    </row>
    <row r="10" spans="1:28">
      <c r="A10" s="1" t="s">
        <v>23</v>
      </c>
      <c r="B10" s="7">
        <v>277536.65</v>
      </c>
      <c r="C10" s="7">
        <v>282564.18</v>
      </c>
      <c r="D10" s="7">
        <v>286613.97</v>
      </c>
      <c r="E10" s="7">
        <v>272924.57</v>
      </c>
      <c r="F10" s="7">
        <v>277945.9</v>
      </c>
      <c r="G10" s="7">
        <v>282661.75</v>
      </c>
      <c r="H10" s="7">
        <v>269460.96</v>
      </c>
      <c r="I10" s="7">
        <v>273489.69</v>
      </c>
      <c r="J10" s="7">
        <v>278522.13</v>
      </c>
      <c r="K10" s="2">
        <v>283032.76</v>
      </c>
      <c r="L10" s="2">
        <v>288542.31</v>
      </c>
      <c r="M10" s="1">
        <v>293431.5</v>
      </c>
      <c r="N10" s="14"/>
      <c r="O10" s="32" t="s">
        <v>23</v>
      </c>
      <c r="P10" s="2">
        <v>298508.7</v>
      </c>
      <c r="Q10" s="2">
        <v>301942.44</v>
      </c>
    </row>
    <row r="11" spans="1:28">
      <c r="A11" s="1" t="s">
        <v>24</v>
      </c>
      <c r="B11" s="7">
        <v>417853</v>
      </c>
      <c r="C11" s="7">
        <v>417726</v>
      </c>
      <c r="D11" s="7">
        <v>417621</v>
      </c>
      <c r="E11" s="7">
        <v>41984</v>
      </c>
      <c r="F11" s="7">
        <v>431345</v>
      </c>
      <c r="G11" s="7">
        <v>425125</v>
      </c>
      <c r="H11" s="7">
        <v>426834</v>
      </c>
      <c r="I11" s="7">
        <v>426834</v>
      </c>
      <c r="J11" s="7">
        <v>430781</v>
      </c>
      <c r="K11" s="2">
        <v>427880</v>
      </c>
      <c r="L11">
        <v>708487</v>
      </c>
      <c r="M11" s="36">
        <v>0</v>
      </c>
      <c r="N11" s="14"/>
      <c r="O11" s="32" t="s">
        <v>24</v>
      </c>
      <c r="P11">
        <v>0</v>
      </c>
    </row>
    <row r="12" spans="1:28">
      <c r="A12" s="1" t="s">
        <v>25</v>
      </c>
      <c r="B12" s="7">
        <v>154681.96</v>
      </c>
      <c r="C12" s="7">
        <v>155793.92</v>
      </c>
      <c r="D12" s="7">
        <v>154091.91</v>
      </c>
      <c r="E12" s="7">
        <v>152255.34</v>
      </c>
      <c r="F12" s="7">
        <v>153921.13</v>
      </c>
      <c r="G12" s="7">
        <v>156258.96</v>
      </c>
      <c r="H12" s="7">
        <v>158304.39</v>
      </c>
      <c r="I12" s="7">
        <v>160693.03</v>
      </c>
      <c r="J12" s="7">
        <v>163323.29</v>
      </c>
      <c r="K12" s="2">
        <v>166239.32</v>
      </c>
      <c r="L12" s="2">
        <v>167381.71</v>
      </c>
      <c r="M12" s="1">
        <v>153045</v>
      </c>
      <c r="N12" s="14"/>
      <c r="O12" s="32" t="s">
        <v>25</v>
      </c>
      <c r="P12" s="17"/>
      <c r="Q12" s="17"/>
    </row>
    <row r="13" spans="1:28">
      <c r="A13" s="1" t="s">
        <v>27</v>
      </c>
      <c r="B13" s="7">
        <v>2564701</v>
      </c>
      <c r="C13" s="7">
        <v>2632432</v>
      </c>
      <c r="D13" s="7">
        <v>2684618</v>
      </c>
      <c r="E13" s="7">
        <v>2581561</v>
      </c>
      <c r="F13" s="7">
        <v>2583380</v>
      </c>
      <c r="G13" s="7">
        <v>2645632</v>
      </c>
      <c r="H13" s="7">
        <v>2696805</v>
      </c>
      <c r="I13" s="7">
        <v>2756895</v>
      </c>
      <c r="J13" s="7">
        <v>2794445</v>
      </c>
      <c r="K13" s="2">
        <v>2844392</v>
      </c>
      <c r="L13" s="2">
        <v>2891887</v>
      </c>
      <c r="M13" s="1">
        <v>2953577</v>
      </c>
      <c r="N13" s="14"/>
      <c r="O13" s="32" t="s">
        <v>27</v>
      </c>
      <c r="P13" s="2">
        <v>3021491</v>
      </c>
      <c r="Q13" s="13">
        <v>3052773</v>
      </c>
    </row>
    <row r="14" spans="1:28">
      <c r="A14" s="1" t="s">
        <v>28</v>
      </c>
      <c r="B14" s="7">
        <v>331.461</v>
      </c>
      <c r="C14" s="3">
        <v>329.736</v>
      </c>
      <c r="D14" s="3">
        <v>319.428</v>
      </c>
      <c r="E14" s="3">
        <v>320.154</v>
      </c>
      <c r="F14" s="3">
        <v>305.573</v>
      </c>
      <c r="G14" s="3">
        <v>302.612</v>
      </c>
      <c r="H14" s="3">
        <v>317.211</v>
      </c>
      <c r="I14" s="3">
        <v>320.122</v>
      </c>
      <c r="J14" s="3">
        <v>306.345</v>
      </c>
      <c r="K14">
        <v>316.633</v>
      </c>
      <c r="L14">
        <v>323.611</v>
      </c>
      <c r="M14" s="1">
        <v>323164</v>
      </c>
      <c r="N14" s="14"/>
      <c r="O14" s="32" t="s">
        <v>28</v>
      </c>
      <c r="P14" s="2">
        <v>336493</v>
      </c>
      <c r="Q14" s="2">
        <v>345195</v>
      </c>
    </row>
    <row r="15" spans="1:28">
      <c r="A15" s="1" t="s">
        <v>29</v>
      </c>
      <c r="B15" s="7">
        <v>313038</v>
      </c>
      <c r="C15" s="7">
        <v>281033</v>
      </c>
      <c r="D15" s="7">
        <v>276647</v>
      </c>
      <c r="E15" s="7">
        <v>291794</v>
      </c>
      <c r="F15" s="7">
        <v>295449</v>
      </c>
      <c r="G15" s="3">
        <v>300.111</v>
      </c>
      <c r="H15" s="7">
        <v>302838</v>
      </c>
      <c r="I15" s="7">
        <v>306244</v>
      </c>
      <c r="J15" s="7">
        <v>309814</v>
      </c>
      <c r="K15">
        <v>313.213</v>
      </c>
      <c r="L15" s="2">
        <v>316952</v>
      </c>
      <c r="M15" s="1">
        <v>327490</v>
      </c>
      <c r="N15" s="14"/>
      <c r="O15" s="32" t="s">
        <v>29</v>
      </c>
      <c r="P15" s="2">
        <v>322777</v>
      </c>
      <c r="Q15" s="2">
        <v>323527</v>
      </c>
    </row>
    <row r="16" spans="1:28">
      <c r="A16" s="1" t="s">
        <v>30</v>
      </c>
      <c r="B16" s="7">
        <v>8392244.9</v>
      </c>
      <c r="C16" s="7">
        <v>8276427.7</v>
      </c>
      <c r="D16" s="7">
        <v>8013762.93</v>
      </c>
      <c r="E16" s="7">
        <v>8062107.75</v>
      </c>
      <c r="F16" s="7">
        <v>8062107.75</v>
      </c>
      <c r="G16" s="7">
        <v>8125120.2</v>
      </c>
      <c r="H16" s="7">
        <v>8269658.51</v>
      </c>
      <c r="I16" s="7">
        <v>8313126.46</v>
      </c>
      <c r="J16" s="7">
        <v>8346539.61</v>
      </c>
      <c r="K16" s="2">
        <v>8298813.21</v>
      </c>
      <c r="L16" s="2">
        <v>8337047.17</v>
      </c>
      <c r="M16" s="1">
        <v>8472786.89</v>
      </c>
      <c r="N16" s="14"/>
      <c r="O16" s="32" t="s">
        <v>30</v>
      </c>
      <c r="P16" s="2">
        <v>8517372.34</v>
      </c>
      <c r="Q16" s="13">
        <v>9153872.62</v>
      </c>
    </row>
    <row r="17" spans="1:28">
      <c r="A17" s="1" t="s">
        <v>31</v>
      </c>
      <c r="B17" s="7">
        <v>1400251</v>
      </c>
      <c r="C17" s="7">
        <v>1426195</v>
      </c>
      <c r="D17" s="7">
        <v>1338954</v>
      </c>
      <c r="E17" s="7">
        <v>1363542</v>
      </c>
      <c r="F17" s="7">
        <v>1388020</v>
      </c>
      <c r="G17" s="7">
        <v>1413001</v>
      </c>
      <c r="H17" s="7">
        <v>1421926</v>
      </c>
      <c r="I17" s="7">
        <v>1464546</v>
      </c>
      <c r="J17" s="7">
        <v>1480019</v>
      </c>
      <c r="K17" s="2">
        <v>1490832</v>
      </c>
      <c r="L17" s="2">
        <v>1507857</v>
      </c>
      <c r="M17" s="1">
        <v>1524008</v>
      </c>
      <c r="N17" s="14"/>
      <c r="O17" s="32" t="s">
        <v>31</v>
      </c>
      <c r="P17" s="2">
        <v>1552414</v>
      </c>
      <c r="Q17" s="2">
        <v>1570216</v>
      </c>
    </row>
    <row r="18" spans="1:28">
      <c r="A18" s="1" t="s">
        <v>32</v>
      </c>
      <c r="B18" s="7">
        <v>312.452</v>
      </c>
      <c r="C18" s="3">
        <v>232.103</v>
      </c>
      <c r="D18" s="3">
        <v>259.269</v>
      </c>
      <c r="E18" s="3">
        <v>279.676</v>
      </c>
      <c r="F18" s="3">
        <v>232320</v>
      </c>
      <c r="G18" s="3">
        <v>236.456</v>
      </c>
      <c r="H18" s="7">
        <v>220809</v>
      </c>
      <c r="I18" s="7">
        <v>229397</v>
      </c>
      <c r="J18" s="7">
        <v>231984</v>
      </c>
      <c r="K18" s="2">
        <v>230528</v>
      </c>
      <c r="L18" s="2">
        <v>239693</v>
      </c>
      <c r="M18" s="1">
        <v>258236</v>
      </c>
      <c r="N18" s="14"/>
      <c r="O18" s="32" t="s">
        <v>32</v>
      </c>
      <c r="P18" s="2">
        <v>252222</v>
      </c>
      <c r="Q18" s="2">
        <v>268862</v>
      </c>
    </row>
    <row r="19" spans="1:28">
      <c r="A19" s="1" t="s">
        <v>33</v>
      </c>
      <c r="B19" s="7">
        <v>384726.59</v>
      </c>
      <c r="C19" s="7">
        <v>385841.27</v>
      </c>
      <c r="D19" s="7">
        <v>403883.39</v>
      </c>
      <c r="E19" s="7">
        <v>406047.3</v>
      </c>
      <c r="F19" s="7">
        <v>407369.2</v>
      </c>
      <c r="G19" s="7">
        <v>391183.98</v>
      </c>
      <c r="H19" s="7">
        <v>392359.78</v>
      </c>
      <c r="I19" s="7">
        <v>392671.19</v>
      </c>
      <c r="J19" s="7">
        <v>395223.47</v>
      </c>
      <c r="K19" s="2">
        <v>391357.91</v>
      </c>
      <c r="L19" s="2">
        <v>402397.53</v>
      </c>
      <c r="M19" s="1">
        <v>401863.97</v>
      </c>
      <c r="N19" s="14"/>
      <c r="O19" s="32" t="s">
        <v>33</v>
      </c>
      <c r="P19" s="2">
        <v>398904.49</v>
      </c>
      <c r="Q19" s="2">
        <v>398322.16</v>
      </c>
    </row>
    <row r="20" spans="1:28">
      <c r="A20" s="1" t="s">
        <v>40</v>
      </c>
      <c r="B20" s="7">
        <v>160.988</v>
      </c>
      <c r="C20" s="3">
        <v>157.017</v>
      </c>
      <c r="D20" s="3">
        <v>146.651</v>
      </c>
      <c r="E20" s="3">
        <v>142.342</v>
      </c>
      <c r="F20" s="3">
        <v>134.752</v>
      </c>
      <c r="G20" s="3">
        <v>134.814</v>
      </c>
      <c r="H20" s="3">
        <v>136.796</v>
      </c>
      <c r="I20" s="7">
        <v>143363</v>
      </c>
      <c r="J20" s="7">
        <v>144489</v>
      </c>
      <c r="K20">
        <v>0</v>
      </c>
      <c r="L20" s="2">
        <v>134078</v>
      </c>
      <c r="M20" s="1">
        <v>175497</v>
      </c>
      <c r="N20" s="14"/>
      <c r="O20" s="32" t="s">
        <v>40</v>
      </c>
      <c r="P20" s="17"/>
      <c r="Q20" s="17"/>
    </row>
    <row r="21" spans="1:28">
      <c r="A21" s="1" t="s">
        <v>42</v>
      </c>
      <c r="B21" s="7">
        <v>400641</v>
      </c>
      <c r="C21" s="3">
        <v>407505</v>
      </c>
      <c r="D21" s="3">
        <v>416085</v>
      </c>
      <c r="E21" s="3">
        <v>421440</v>
      </c>
      <c r="F21" s="3">
        <v>428238</v>
      </c>
      <c r="G21" s="3">
        <v>441443</v>
      </c>
      <c r="H21" s="3">
        <v>449256</v>
      </c>
      <c r="I21" s="3">
        <v>456124</v>
      </c>
      <c r="J21" s="3">
        <v>474662</v>
      </c>
      <c r="K21">
        <v>483187</v>
      </c>
      <c r="L21" s="2">
        <v>488496</v>
      </c>
      <c r="M21" s="1">
        <v>500151</v>
      </c>
      <c r="N21" s="14"/>
      <c r="O21" s="32" t="s">
        <v>42</v>
      </c>
      <c r="P21" s="2">
        <v>509093</v>
      </c>
      <c r="Q21" s="2">
        <v>517481</v>
      </c>
    </row>
    <row r="22" spans="1:28">
      <c r="A22" s="1" t="s">
        <v>43</v>
      </c>
      <c r="B22" s="7">
        <v>257957</v>
      </c>
      <c r="C22" s="7">
        <v>260321</v>
      </c>
      <c r="D22" s="7">
        <v>263790</v>
      </c>
      <c r="E22" s="7">
        <v>259761</v>
      </c>
      <c r="F22" s="7">
        <v>260866</v>
      </c>
      <c r="G22" s="7">
        <v>267848</v>
      </c>
      <c r="H22" s="7">
        <v>271391</v>
      </c>
      <c r="I22" s="7">
        <v>283032</v>
      </c>
      <c r="J22" s="7">
        <v>286057</v>
      </c>
      <c r="K22">
        <v>291490</v>
      </c>
      <c r="L22" s="2">
        <v>287182</v>
      </c>
      <c r="M22" s="1">
        <v>292539</v>
      </c>
      <c r="N22" s="14"/>
      <c r="O22" s="32" t="s">
        <v>43</v>
      </c>
      <c r="P22" s="2">
        <v>296883</v>
      </c>
      <c r="Q22" s="2">
        <v>290080</v>
      </c>
    </row>
    <row r="23" spans="1:28">
      <c r="A23" s="1" t="s">
        <v>44</v>
      </c>
      <c r="B23" s="7">
        <v>235694</v>
      </c>
      <c r="C23" s="7">
        <v>237862</v>
      </c>
      <c r="D23" s="7">
        <v>238423</v>
      </c>
      <c r="E23" s="7">
        <v>239250</v>
      </c>
      <c r="F23" s="7">
        <v>239254</v>
      </c>
      <c r="G23" s="7">
        <v>240307</v>
      </c>
      <c r="H23" s="7">
        <v>241519</v>
      </c>
      <c r="I23" s="7">
        <v>244360</v>
      </c>
      <c r="J23" s="7">
        <v>255870</v>
      </c>
      <c r="K23" s="2">
        <v>252227</v>
      </c>
      <c r="L23" s="2">
        <v>280348</v>
      </c>
      <c r="M23" s="1">
        <v>290643</v>
      </c>
      <c r="N23" s="14"/>
      <c r="O23" s="32" t="s">
        <v>44</v>
      </c>
      <c r="P23" s="2">
        <v>293345</v>
      </c>
      <c r="Q23" s="2">
        <v>328496</v>
      </c>
    </row>
    <row r="24" spans="1:28">
      <c r="A24" s="1" t="s">
        <v>45</v>
      </c>
      <c r="B24" s="7" t="s">
        <v>337</v>
      </c>
      <c r="C24" s="3" t="s">
        <v>338</v>
      </c>
      <c r="D24" s="3" t="s">
        <v>339</v>
      </c>
      <c r="E24" s="3" t="s">
        <v>340</v>
      </c>
      <c r="F24" s="3" t="s">
        <v>341</v>
      </c>
      <c r="G24" s="3" t="s">
        <v>342</v>
      </c>
      <c r="H24" s="7">
        <v>1558305</v>
      </c>
      <c r="I24" s="7">
        <v>1572927</v>
      </c>
      <c r="J24" s="3" t="s">
        <v>343</v>
      </c>
      <c r="K24" s="2">
        <v>1619411</v>
      </c>
      <c r="L24" s="2">
        <v>1625294</v>
      </c>
      <c r="M24" s="1">
        <v>1640329</v>
      </c>
      <c r="N24" s="14"/>
      <c r="O24" s="32" t="s">
        <v>45</v>
      </c>
      <c r="P24" s="2">
        <v>1647806</v>
      </c>
    </row>
    <row r="25" spans="1:28">
      <c r="A25" s="1" t="s">
        <v>51</v>
      </c>
      <c r="B25" s="7">
        <v>328.547</v>
      </c>
      <c r="C25" s="3">
        <v>328.858</v>
      </c>
      <c r="D25" s="3">
        <v>329.144</v>
      </c>
      <c r="E25" s="3">
        <v>329.243</v>
      </c>
      <c r="F25" s="3">
        <v>329.242</v>
      </c>
      <c r="G25" s="3">
        <v>329.878</v>
      </c>
      <c r="H25" s="3">
        <v>331.491</v>
      </c>
      <c r="I25" s="3">
        <v>334997</v>
      </c>
      <c r="J25" s="3">
        <v>336.908</v>
      </c>
      <c r="K25">
        <v>339727</v>
      </c>
      <c r="L25">
        <v>341151</v>
      </c>
      <c r="M25" s="1">
        <v>344555</v>
      </c>
      <c r="N25" s="14"/>
      <c r="O25" s="32" t="s">
        <v>51</v>
      </c>
      <c r="P25">
        <v>334.398</v>
      </c>
      <c r="Q25">
        <v>335.363</v>
      </c>
    </row>
    <row r="26" spans="1:28">
      <c r="A26" s="1" t="s">
        <v>52</v>
      </c>
      <c r="B26" s="7">
        <v>4739665</v>
      </c>
      <c r="C26" s="3">
        <v>4701063</v>
      </c>
      <c r="D26" s="3">
        <v>4557947</v>
      </c>
      <c r="E26" s="3">
        <v>4604653</v>
      </c>
      <c r="F26" s="3">
        <v>3963434</v>
      </c>
      <c r="G26" s="3">
        <v>3934232</v>
      </c>
      <c r="H26" s="3">
        <v>4346278</v>
      </c>
      <c r="I26" s="3">
        <v>4542481</v>
      </c>
      <c r="J26" s="3">
        <v>4450693</v>
      </c>
      <c r="K26">
        <v>4326681</v>
      </c>
      <c r="L26">
        <v>4622870</v>
      </c>
      <c r="M26" s="1">
        <v>4327514</v>
      </c>
      <c r="N26" s="14"/>
      <c r="O26" s="32" t="s">
        <v>52</v>
      </c>
      <c r="P26" s="2">
        <v>4320942</v>
      </c>
      <c r="Q26" s="13">
        <v>4329177</v>
      </c>
    </row>
    <row r="27" spans="1:28">
      <c r="A27" s="15" t="s">
        <v>53</v>
      </c>
      <c r="B27" s="37" t="s">
        <v>54</v>
      </c>
      <c r="C27" s="18"/>
      <c r="D27" s="18"/>
      <c r="E27" s="18"/>
      <c r="F27" s="18"/>
      <c r="G27" s="18"/>
      <c r="H27" s="18"/>
      <c r="I27" s="18"/>
      <c r="J27" s="18"/>
      <c r="K27" s="17"/>
      <c r="L27" s="17"/>
      <c r="M27" s="34"/>
      <c r="N27" s="14"/>
      <c r="O27" s="35" t="s">
        <v>53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>
      <c r="A28" s="1" t="s">
        <v>55</v>
      </c>
      <c r="B28" s="7" t="s">
        <v>344</v>
      </c>
      <c r="C28" s="3" t="s">
        <v>345</v>
      </c>
      <c r="D28" s="3" t="s">
        <v>346</v>
      </c>
      <c r="E28" s="3" t="s">
        <v>347</v>
      </c>
      <c r="F28" s="3" t="s">
        <v>348</v>
      </c>
      <c r="G28" s="3" t="s">
        <v>349</v>
      </c>
      <c r="H28" s="3" t="s">
        <v>350</v>
      </c>
      <c r="I28" s="3" t="s">
        <v>351</v>
      </c>
      <c r="J28" s="3" t="s">
        <v>352</v>
      </c>
      <c r="K28">
        <v>3189850</v>
      </c>
      <c r="L28" s="3" t="s">
        <v>353</v>
      </c>
      <c r="M28" s="12">
        <v>3265930</v>
      </c>
      <c r="N28" s="14"/>
      <c r="O28" s="32" t="s">
        <v>55</v>
      </c>
      <c r="P28" s="2">
        <v>3283408</v>
      </c>
      <c r="Q28" s="13">
        <v>3275254</v>
      </c>
    </row>
    <row r="29" spans="1:28">
      <c r="A29" s="1" t="s">
        <v>65</v>
      </c>
      <c r="B29" s="7">
        <v>728002</v>
      </c>
      <c r="C29" s="7">
        <v>737974</v>
      </c>
      <c r="D29" s="7">
        <v>741115</v>
      </c>
      <c r="E29" s="7">
        <v>755149</v>
      </c>
      <c r="F29" s="7">
        <v>767488</v>
      </c>
      <c r="G29" s="7">
        <v>778533</v>
      </c>
      <c r="H29" s="7">
        <v>788350</v>
      </c>
      <c r="I29" s="7">
        <v>803420</v>
      </c>
      <c r="J29" s="7">
        <v>814040</v>
      </c>
      <c r="K29">
        <v>831175</v>
      </c>
      <c r="L29" s="2">
        <v>832284</v>
      </c>
      <c r="M29" s="1">
        <v>835400</v>
      </c>
      <c r="N29" s="14"/>
      <c r="O29" s="32" t="s">
        <v>65</v>
      </c>
      <c r="P29" s="2">
        <v>838579</v>
      </c>
      <c r="Q29" s="2">
        <v>844139</v>
      </c>
    </row>
    <row r="30" spans="1:28">
      <c r="A30" s="1" t="s">
        <v>66</v>
      </c>
      <c r="B30" s="7">
        <v>326629</v>
      </c>
      <c r="C30" s="7">
        <v>350006</v>
      </c>
      <c r="D30" s="7">
        <v>373135</v>
      </c>
      <c r="E30" s="7">
        <v>399814</v>
      </c>
      <c r="F30" s="7">
        <v>413373</v>
      </c>
      <c r="G30" s="7">
        <v>435094</v>
      </c>
      <c r="H30" s="7">
        <v>443950</v>
      </c>
      <c r="I30" s="7">
        <v>453672</v>
      </c>
      <c r="J30" s="7">
        <v>461486</v>
      </c>
      <c r="K30">
        <v>468003</v>
      </c>
      <c r="L30" s="2">
        <v>470473</v>
      </c>
      <c r="M30" s="1">
        <v>433851</v>
      </c>
      <c r="N30" s="14"/>
      <c r="O30" s="32" t="s">
        <v>66</v>
      </c>
      <c r="P30" s="2">
        <v>550090</v>
      </c>
      <c r="Q30" s="2">
        <v>560609</v>
      </c>
    </row>
    <row r="31" spans="1:28">
      <c r="A31" s="1" t="s">
        <v>67</v>
      </c>
      <c r="B31" s="7">
        <v>389124</v>
      </c>
      <c r="C31" s="7">
        <v>389800</v>
      </c>
      <c r="D31" s="7">
        <v>389702</v>
      </c>
      <c r="E31" s="7">
        <v>385720</v>
      </c>
      <c r="F31" s="7">
        <v>385955</v>
      </c>
      <c r="G31" s="7">
        <v>384630</v>
      </c>
      <c r="H31" s="7">
        <v>385057</v>
      </c>
      <c r="I31" s="7">
        <v>385385</v>
      </c>
      <c r="J31" s="7">
        <v>385955</v>
      </c>
      <c r="K31" s="2">
        <v>386059</v>
      </c>
      <c r="L31" s="2">
        <v>389243</v>
      </c>
      <c r="M31" s="1">
        <v>406941</v>
      </c>
      <c r="N31" s="14"/>
      <c r="O31" s="32" t="s">
        <v>67</v>
      </c>
      <c r="P31" s="2">
        <v>408726</v>
      </c>
      <c r="Q31" s="2">
        <v>395414</v>
      </c>
    </row>
    <row r="32" spans="1:28">
      <c r="A32" s="1" t="s">
        <v>68</v>
      </c>
      <c r="B32" s="7">
        <v>134453</v>
      </c>
      <c r="C32" s="7">
        <v>135145</v>
      </c>
      <c r="D32" s="7">
        <v>134580</v>
      </c>
      <c r="E32" s="7">
        <v>135580</v>
      </c>
      <c r="F32" s="7">
        <v>136896</v>
      </c>
      <c r="G32" s="7">
        <v>137564</v>
      </c>
      <c r="H32" s="7">
        <v>137931</v>
      </c>
      <c r="I32" s="7">
        <v>136087</v>
      </c>
      <c r="J32" s="7">
        <v>136133</v>
      </c>
      <c r="K32" s="2">
        <v>137610</v>
      </c>
      <c r="L32" s="2">
        <v>137379</v>
      </c>
      <c r="M32" s="1">
        <v>142449</v>
      </c>
      <c r="N32" s="14"/>
      <c r="O32" s="32" t="s">
        <v>68</v>
      </c>
      <c r="P32" s="2">
        <v>143441</v>
      </c>
      <c r="Q32" s="2">
        <v>142626</v>
      </c>
    </row>
    <row r="33" spans="1:28">
      <c r="A33" s="1" t="s">
        <v>69</v>
      </c>
      <c r="B33" s="7">
        <v>800958</v>
      </c>
      <c r="C33" s="7">
        <v>802314</v>
      </c>
      <c r="D33" s="7">
        <v>812483</v>
      </c>
      <c r="E33" s="7">
        <v>811059</v>
      </c>
      <c r="F33" s="7">
        <v>772535</v>
      </c>
      <c r="G33" s="7">
        <v>777161</v>
      </c>
      <c r="H33" s="7">
        <v>786664</v>
      </c>
      <c r="I33" s="7">
        <v>797783</v>
      </c>
      <c r="J33" s="7">
        <v>803711</v>
      </c>
      <c r="K33">
        <v>819097</v>
      </c>
      <c r="L33">
        <v>830713</v>
      </c>
      <c r="M33" s="1">
        <v>835222</v>
      </c>
      <c r="N33" s="14"/>
      <c r="O33" s="32" t="s">
        <v>69</v>
      </c>
      <c r="P33" s="2">
        <v>887711</v>
      </c>
      <c r="Q33" s="2">
        <v>894975</v>
      </c>
    </row>
    <row r="34" spans="1:28">
      <c r="A34" s="1" t="s">
        <v>70</v>
      </c>
      <c r="B34" s="7">
        <v>141.701</v>
      </c>
      <c r="C34" s="3">
        <v>142.533</v>
      </c>
      <c r="D34" s="3">
        <v>144.387</v>
      </c>
      <c r="E34" s="3">
        <v>144.971</v>
      </c>
      <c r="F34" s="3">
        <v>143.455</v>
      </c>
      <c r="G34" s="3">
        <v>143.953</v>
      </c>
      <c r="H34" s="3">
        <v>144.274</v>
      </c>
      <c r="I34" s="3">
        <v>144.439</v>
      </c>
      <c r="J34" s="3">
        <v>238.753</v>
      </c>
      <c r="K34">
        <v>145560</v>
      </c>
      <c r="L34">
        <v>144.041</v>
      </c>
      <c r="M34" s="1">
        <v>143661</v>
      </c>
      <c r="N34" s="14"/>
      <c r="O34" s="32" t="s">
        <v>70</v>
      </c>
      <c r="P34" s="2">
        <v>144059</v>
      </c>
      <c r="Q34" s="2">
        <v>144429</v>
      </c>
    </row>
    <row r="35" spans="1:28">
      <c r="A35" s="1" t="s">
        <v>71</v>
      </c>
      <c r="B35" s="7">
        <v>314755.41</v>
      </c>
      <c r="C35" s="7">
        <v>289237.58</v>
      </c>
      <c r="D35" s="7">
        <v>276641.3</v>
      </c>
      <c r="E35" s="7">
        <v>355370.2</v>
      </c>
      <c r="F35" s="7">
        <v>351108.85</v>
      </c>
      <c r="G35" s="7">
        <v>381019.22</v>
      </c>
      <c r="H35" s="7">
        <v>362651.12</v>
      </c>
      <c r="I35" s="7">
        <v>356975.91</v>
      </c>
      <c r="J35" s="7">
        <v>392819.29</v>
      </c>
      <c r="K35">
        <v>394615</v>
      </c>
      <c r="L35" s="2">
        <v>404137.97</v>
      </c>
      <c r="M35" s="1">
        <v>405696</v>
      </c>
      <c r="N35" s="14"/>
      <c r="O35" s="32" t="s">
        <v>71</v>
      </c>
      <c r="P35" s="2">
        <v>408694.37</v>
      </c>
      <c r="Q35" s="2">
        <v>412425.67</v>
      </c>
    </row>
    <row r="36" spans="1:28">
      <c r="A36" s="1" t="s">
        <v>72</v>
      </c>
      <c r="B36" s="7">
        <v>202169</v>
      </c>
      <c r="C36" s="7">
        <v>203021</v>
      </c>
      <c r="D36" s="7">
        <v>206288</v>
      </c>
      <c r="E36" s="7">
        <v>206321</v>
      </c>
      <c r="F36" s="7">
        <v>207012</v>
      </c>
      <c r="G36" s="7">
        <v>208927</v>
      </c>
      <c r="H36" s="7">
        <v>210247</v>
      </c>
      <c r="I36" s="7">
        <v>210790</v>
      </c>
      <c r="J36" s="7">
        <v>211738</v>
      </c>
      <c r="K36">
        <v>212872</v>
      </c>
      <c r="L36" s="2">
        <v>214120</v>
      </c>
      <c r="M36" s="1">
        <v>217004</v>
      </c>
      <c r="N36" s="14"/>
      <c r="O36" s="32" t="s">
        <v>72</v>
      </c>
      <c r="P36" s="2">
        <v>218289</v>
      </c>
      <c r="Q36" s="2">
        <v>220090</v>
      </c>
    </row>
    <row r="37" spans="1:28">
      <c r="A37" s="1" t="s">
        <v>73</v>
      </c>
      <c r="B37" s="7" t="s">
        <v>354</v>
      </c>
      <c r="C37" s="3" t="s">
        <v>355</v>
      </c>
      <c r="D37" s="3" t="s">
        <v>356</v>
      </c>
      <c r="E37" s="3" t="s">
        <v>357</v>
      </c>
      <c r="F37" s="3" t="s">
        <v>358</v>
      </c>
      <c r="G37" s="3" t="s">
        <v>359</v>
      </c>
      <c r="H37" s="3" t="s">
        <v>360</v>
      </c>
      <c r="I37" s="7">
        <v>6134099</v>
      </c>
      <c r="J37" s="3" t="s">
        <v>361</v>
      </c>
      <c r="K37">
        <v>6413683</v>
      </c>
      <c r="L37">
        <v>6471103</v>
      </c>
      <c r="M37" s="1">
        <v>6520493</v>
      </c>
      <c r="N37" s="14"/>
      <c r="O37" s="32" t="s">
        <v>73</v>
      </c>
      <c r="P37" s="2">
        <v>6897480</v>
      </c>
      <c r="Q37" s="13">
        <v>7122831</v>
      </c>
    </row>
    <row r="38" spans="1:28">
      <c r="A38" s="1" t="s">
        <v>82</v>
      </c>
      <c r="B38" s="7">
        <v>258.437</v>
      </c>
      <c r="C38" s="3">
        <v>264.929</v>
      </c>
      <c r="D38" s="3">
        <v>270.666</v>
      </c>
      <c r="E38" s="3">
        <v>278740</v>
      </c>
      <c r="F38" s="3">
        <v>287.319</v>
      </c>
      <c r="G38" s="3">
        <v>294.737</v>
      </c>
      <c r="H38" s="3">
        <v>303.843</v>
      </c>
      <c r="I38" s="3">
        <v>317.207</v>
      </c>
      <c r="J38" s="3">
        <v>327.987</v>
      </c>
      <c r="K38">
        <v>338534</v>
      </c>
      <c r="L38">
        <v>350004</v>
      </c>
      <c r="M38" s="1">
        <v>360050</v>
      </c>
      <c r="N38" s="14"/>
      <c r="O38" s="32" t="s">
        <v>82</v>
      </c>
      <c r="P38" s="2">
        <v>369424</v>
      </c>
      <c r="Q38" s="2">
        <v>376010</v>
      </c>
    </row>
    <row r="39" spans="1:28">
      <c r="A39" s="1" t="s">
        <v>83</v>
      </c>
      <c r="B39" s="7">
        <v>207.561</v>
      </c>
      <c r="C39" s="3">
        <v>257.758</v>
      </c>
      <c r="D39" s="3">
        <v>257.853</v>
      </c>
      <c r="E39" s="3">
        <v>258.229</v>
      </c>
      <c r="F39" s="3">
        <v>258.262</v>
      </c>
      <c r="G39" s="3">
        <v>258.233</v>
      </c>
      <c r="H39" s="7">
        <v>258341</v>
      </c>
      <c r="I39" s="7">
        <v>258471</v>
      </c>
      <c r="J39" s="3">
        <v>258.663</v>
      </c>
      <c r="K39">
        <v>258208</v>
      </c>
      <c r="L39" s="2">
        <v>258280</v>
      </c>
      <c r="M39" s="1">
        <v>260611</v>
      </c>
      <c r="N39" s="14"/>
      <c r="O39" s="32" t="s">
        <v>83</v>
      </c>
      <c r="P39" s="2">
        <v>254554</v>
      </c>
      <c r="Q39" s="2">
        <v>254855</v>
      </c>
    </row>
    <row r="40" spans="1:28">
      <c r="A40" s="1" t="s">
        <v>84</v>
      </c>
      <c r="B40" s="7">
        <v>704431</v>
      </c>
      <c r="C40" s="7">
        <v>708225</v>
      </c>
      <c r="D40" s="3">
        <v>719.275</v>
      </c>
      <c r="E40" s="7">
        <v>691047</v>
      </c>
      <c r="F40" s="7">
        <v>699286</v>
      </c>
      <c r="G40" s="7">
        <v>710081</v>
      </c>
      <c r="H40" s="7">
        <v>730527</v>
      </c>
      <c r="I40" s="7">
        <v>741014</v>
      </c>
      <c r="J40" s="7">
        <v>684931</v>
      </c>
      <c r="K40" s="2">
        <v>705118</v>
      </c>
      <c r="L40">
        <v>708487</v>
      </c>
      <c r="M40" s="1">
        <v>713813</v>
      </c>
      <c r="N40" s="14"/>
      <c r="O40" s="32" t="s">
        <v>84</v>
      </c>
      <c r="P40" s="2">
        <v>726205</v>
      </c>
      <c r="Q40" s="2">
        <v>735806</v>
      </c>
    </row>
    <row r="41" spans="1:28">
      <c r="A41" s="1" t="s">
        <v>85</v>
      </c>
      <c r="B41" s="7">
        <v>548155</v>
      </c>
      <c r="C41" s="7">
        <v>695887</v>
      </c>
      <c r="D41" s="7">
        <v>764974</v>
      </c>
      <c r="E41" s="7">
        <v>804657</v>
      </c>
      <c r="F41" s="7">
        <v>909990</v>
      </c>
      <c r="G41" s="7">
        <v>958348</v>
      </c>
      <c r="H41" s="7">
        <v>958410</v>
      </c>
      <c r="I41" s="7">
        <v>948508</v>
      </c>
      <c r="J41" s="7">
        <v>1154708</v>
      </c>
      <c r="K41" s="2">
        <v>770550</v>
      </c>
      <c r="L41">
        <v>573.407</v>
      </c>
      <c r="M41" s="8">
        <v>349.385</v>
      </c>
      <c r="N41" s="14"/>
      <c r="O41" s="32" t="s">
        <v>85</v>
      </c>
      <c r="Q41">
        <v>351355</v>
      </c>
    </row>
    <row r="42" spans="1:28">
      <c r="A42" s="1" t="s">
        <v>88</v>
      </c>
      <c r="B42" s="7">
        <v>103819.95</v>
      </c>
      <c r="C42" s="7">
        <v>103941.96</v>
      </c>
      <c r="D42" s="7">
        <v>104.52418</v>
      </c>
      <c r="E42" s="7">
        <v>106284.43</v>
      </c>
      <c r="F42" s="7">
        <v>105801.71</v>
      </c>
      <c r="G42" s="7">
        <v>106785.66</v>
      </c>
      <c r="H42" s="7">
        <v>107530.36</v>
      </c>
      <c r="I42" s="7">
        <v>109209.78</v>
      </c>
      <c r="J42" s="7">
        <v>109592.99</v>
      </c>
      <c r="K42">
        <v>120118</v>
      </c>
      <c r="L42" s="2">
        <v>120421.76</v>
      </c>
      <c r="M42" s="1">
        <v>117275</v>
      </c>
      <c r="N42" s="14"/>
      <c r="O42" s="32" t="s">
        <v>88</v>
      </c>
      <c r="P42" s="2">
        <v>119003.34</v>
      </c>
      <c r="Q42" s="2">
        <v>118607.87</v>
      </c>
    </row>
    <row r="43" spans="1:28">
      <c r="A43" s="1" t="s">
        <v>89</v>
      </c>
      <c r="B43" s="7">
        <v>153347</v>
      </c>
      <c r="C43" s="7">
        <v>149679</v>
      </c>
      <c r="D43" s="7">
        <v>149799</v>
      </c>
      <c r="E43" s="3">
        <v>154.071</v>
      </c>
      <c r="F43" s="7">
        <v>154292</v>
      </c>
      <c r="G43" s="7">
        <v>208501</v>
      </c>
      <c r="H43" s="3">
        <v>211.37</v>
      </c>
      <c r="I43" s="7">
        <v>214793</v>
      </c>
      <c r="J43" s="3">
        <v>217.367</v>
      </c>
      <c r="K43">
        <v>221589</v>
      </c>
      <c r="L43">
        <v>220.458</v>
      </c>
      <c r="M43" s="1">
        <v>233760</v>
      </c>
      <c r="N43" s="14"/>
      <c r="O43" s="32" t="s">
        <v>89</v>
      </c>
      <c r="P43" s="2">
        <v>234685</v>
      </c>
      <c r="Q43" s="2">
        <v>236089</v>
      </c>
    </row>
    <row r="44" spans="1:28">
      <c r="A44" s="1" t="s">
        <v>90</v>
      </c>
      <c r="B44" s="7">
        <v>134710.52</v>
      </c>
      <c r="C44" s="7">
        <v>116494.68</v>
      </c>
      <c r="D44" s="7">
        <v>115412.61</v>
      </c>
      <c r="E44" s="7">
        <v>107361.23</v>
      </c>
      <c r="F44" s="7">
        <v>106126.51</v>
      </c>
      <c r="G44" s="7">
        <v>106776.09</v>
      </c>
      <c r="H44" s="7">
        <v>101449.84</v>
      </c>
      <c r="I44" s="7">
        <v>100326.22</v>
      </c>
      <c r="J44" s="7">
        <v>91955.21</v>
      </c>
      <c r="K44">
        <v>118050</v>
      </c>
      <c r="L44" s="2">
        <v>79851.78</v>
      </c>
      <c r="M44" s="1">
        <v>100888</v>
      </c>
      <c r="N44" s="14"/>
      <c r="O44" s="32" t="s">
        <v>90</v>
      </c>
      <c r="P44" s="2">
        <v>89162.67</v>
      </c>
    </row>
    <row r="45" spans="1:28">
      <c r="A45" s="1" t="s">
        <v>91</v>
      </c>
      <c r="B45" s="7">
        <v>1725569</v>
      </c>
      <c r="C45" s="7">
        <v>1727849</v>
      </c>
      <c r="D45" s="7">
        <v>1744828</v>
      </c>
      <c r="E45" s="3" t="s">
        <v>362</v>
      </c>
      <c r="F45" s="3" t="s">
        <v>363</v>
      </c>
      <c r="G45" s="3" t="s">
        <v>364</v>
      </c>
      <c r="H45" s="3" t="s">
        <v>365</v>
      </c>
      <c r="I45" s="3" t="s">
        <v>366</v>
      </c>
      <c r="J45" s="3" t="s">
        <v>367</v>
      </c>
      <c r="K45">
        <v>1745012</v>
      </c>
      <c r="L45">
        <v>1769439</v>
      </c>
      <c r="M45" s="1">
        <v>1843714</v>
      </c>
      <c r="N45" s="14"/>
      <c r="O45" s="32" t="s">
        <v>91</v>
      </c>
      <c r="P45" s="2">
        <v>1899524</v>
      </c>
      <c r="Q45" s="2">
        <v>1909036</v>
      </c>
    </row>
    <row r="46" spans="1:28">
      <c r="A46" s="1" t="s">
        <v>100</v>
      </c>
      <c r="B46" s="7">
        <v>773339</v>
      </c>
      <c r="C46" s="7">
        <v>759551</v>
      </c>
      <c r="D46" s="7">
        <v>762065</v>
      </c>
      <c r="E46" s="7">
        <v>762700</v>
      </c>
      <c r="F46" s="7">
        <v>772584</v>
      </c>
      <c r="G46" s="7">
        <v>765293</v>
      </c>
      <c r="H46" s="7">
        <v>776809</v>
      </c>
      <c r="I46" s="7">
        <v>783614</v>
      </c>
      <c r="J46" s="7">
        <v>783587</v>
      </c>
      <c r="K46" s="2">
        <v>786570</v>
      </c>
      <c r="L46" s="2">
        <v>777186</v>
      </c>
      <c r="M46" s="1">
        <v>768627</v>
      </c>
      <c r="N46" s="14"/>
      <c r="O46" s="32" t="s">
        <v>100</v>
      </c>
      <c r="P46" s="2">
        <v>776975</v>
      </c>
      <c r="Q46" s="2">
        <v>778718</v>
      </c>
    </row>
    <row r="47" spans="1:28">
      <c r="A47" s="1" t="s">
        <v>101</v>
      </c>
      <c r="B47" s="7">
        <v>413027</v>
      </c>
      <c r="C47" s="7">
        <v>413892</v>
      </c>
      <c r="D47" s="7">
        <v>405631</v>
      </c>
      <c r="E47" s="7">
        <v>406769</v>
      </c>
      <c r="F47" s="7">
        <v>407081</v>
      </c>
      <c r="G47" s="7">
        <v>407300</v>
      </c>
      <c r="H47" s="7">
        <v>407758</v>
      </c>
      <c r="I47" s="7">
        <v>408061</v>
      </c>
      <c r="J47" s="7">
        <v>409252</v>
      </c>
      <c r="K47" s="2">
        <v>411977</v>
      </c>
      <c r="L47" s="2">
        <v>416464</v>
      </c>
      <c r="M47" s="1">
        <v>428720</v>
      </c>
      <c r="N47" s="14"/>
      <c r="O47" s="32" t="s">
        <v>101</v>
      </c>
      <c r="P47" s="2">
        <v>430821</v>
      </c>
      <c r="Q47" s="2">
        <v>432573</v>
      </c>
    </row>
    <row r="48" spans="1:28">
      <c r="A48" s="1" t="s">
        <v>102</v>
      </c>
      <c r="B48" s="7">
        <v>762.026</v>
      </c>
      <c r="C48" s="3">
        <v>650.133</v>
      </c>
      <c r="D48" s="7">
        <v>732533</v>
      </c>
      <c r="E48" s="3">
        <v>876.662</v>
      </c>
      <c r="F48" s="3" t="s">
        <v>368</v>
      </c>
      <c r="G48" s="3" t="s">
        <v>369</v>
      </c>
      <c r="H48" s="3" t="s">
        <v>370</v>
      </c>
      <c r="I48" s="3" t="s">
        <v>371</v>
      </c>
      <c r="J48" s="7">
        <v>1834852</v>
      </c>
      <c r="K48" s="2">
        <v>1501980</v>
      </c>
      <c r="L48" s="2">
        <v>877263</v>
      </c>
      <c r="M48" s="1">
        <v>988622</v>
      </c>
      <c r="N48" s="14"/>
      <c r="O48" s="32" t="s">
        <v>102</v>
      </c>
      <c r="P48" s="2">
        <v>1164997</v>
      </c>
    </row>
    <row r="49" spans="1:28">
      <c r="A49" s="1" t="s">
        <v>108</v>
      </c>
      <c r="B49" s="7">
        <v>385808.88</v>
      </c>
      <c r="C49" s="7">
        <v>379682.29</v>
      </c>
      <c r="D49" s="7">
        <v>357025.61</v>
      </c>
      <c r="E49" s="7">
        <v>361550.37</v>
      </c>
      <c r="F49" s="7">
        <v>358197.54</v>
      </c>
      <c r="G49" s="7">
        <v>350718.85</v>
      </c>
      <c r="H49" s="7">
        <v>352266.87</v>
      </c>
      <c r="I49" s="7">
        <v>355297.55</v>
      </c>
      <c r="J49" s="7">
        <v>354401.11</v>
      </c>
      <c r="K49" s="2">
        <v>360153.41</v>
      </c>
      <c r="L49" s="2">
        <v>356763.39</v>
      </c>
      <c r="M49" s="1">
        <v>361261.48</v>
      </c>
      <c r="N49" s="14"/>
      <c r="O49" s="32" t="s">
        <v>108</v>
      </c>
      <c r="P49" s="2">
        <v>345066.74</v>
      </c>
      <c r="Q49" s="2">
        <v>345317.65</v>
      </c>
    </row>
    <row r="50" spans="1:28">
      <c r="A50" s="1" t="s">
        <v>109</v>
      </c>
      <c r="B50" s="7">
        <v>306640.14</v>
      </c>
      <c r="C50" s="7">
        <v>308810.4</v>
      </c>
      <c r="D50" s="7">
        <v>312417.34</v>
      </c>
      <c r="E50" s="7">
        <v>311374.52</v>
      </c>
      <c r="F50" s="7">
        <v>317859.07</v>
      </c>
      <c r="G50" s="7">
        <v>323121.98</v>
      </c>
      <c r="H50" s="7">
        <v>325400.95</v>
      </c>
      <c r="I50" s="7">
        <v>331833.26</v>
      </c>
      <c r="J50" s="7">
        <v>335590.72</v>
      </c>
      <c r="K50" s="2">
        <v>337661.07</v>
      </c>
      <c r="L50" s="2">
        <v>344104.94</v>
      </c>
      <c r="M50" s="1">
        <v>343602</v>
      </c>
      <c r="N50" s="14"/>
      <c r="O50" s="32" t="s">
        <v>109</v>
      </c>
      <c r="P50" s="2">
        <v>349336.71</v>
      </c>
      <c r="Q50" s="2">
        <v>356230.97</v>
      </c>
    </row>
    <row r="51" spans="1:28">
      <c r="A51" s="1" t="s">
        <v>110</v>
      </c>
      <c r="B51" s="7">
        <v>246767</v>
      </c>
      <c r="C51" s="7">
        <v>247240</v>
      </c>
      <c r="D51" s="7">
        <v>247644</v>
      </c>
      <c r="E51" s="7">
        <v>247716</v>
      </c>
      <c r="F51" s="7">
        <v>247930</v>
      </c>
      <c r="G51" s="7">
        <v>248395</v>
      </c>
      <c r="H51" s="7">
        <v>249130</v>
      </c>
      <c r="I51" s="7">
        <v>250098</v>
      </c>
      <c r="J51" s="7">
        <v>250149</v>
      </c>
      <c r="K51" s="2">
        <v>251234</v>
      </c>
      <c r="L51" s="2">
        <v>253674</v>
      </c>
      <c r="M51" s="1">
        <v>267958</v>
      </c>
      <c r="N51" s="14"/>
      <c r="O51" s="32" t="s">
        <v>110</v>
      </c>
      <c r="P51" s="2">
        <v>268065</v>
      </c>
      <c r="Q51" s="2">
        <v>268310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>
      <c r="A52" s="1" t="s">
        <v>111</v>
      </c>
      <c r="B52" s="7">
        <v>215886</v>
      </c>
      <c r="C52" s="7">
        <v>210963</v>
      </c>
      <c r="D52" s="7">
        <v>217616</v>
      </c>
      <c r="E52" s="7">
        <v>219148</v>
      </c>
      <c r="F52" s="7">
        <v>209576</v>
      </c>
      <c r="G52" s="7">
        <v>212387</v>
      </c>
      <c r="H52" s="7">
        <v>215498</v>
      </c>
      <c r="I52" s="7">
        <v>215732</v>
      </c>
      <c r="J52" s="7">
        <v>215512</v>
      </c>
      <c r="K52" s="2">
        <v>209054</v>
      </c>
      <c r="L52" s="2">
        <v>204697</v>
      </c>
      <c r="M52" s="1">
        <v>203564</v>
      </c>
      <c r="N52" s="14"/>
      <c r="O52" s="32" t="s">
        <v>111</v>
      </c>
      <c r="P52" s="2">
        <v>201479</v>
      </c>
      <c r="Q52" s="2">
        <v>197403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>
      <c r="A53" s="15" t="s">
        <v>112</v>
      </c>
      <c r="B53" s="37" t="s">
        <v>372</v>
      </c>
      <c r="C53" s="18"/>
      <c r="D53" s="18"/>
      <c r="E53" s="18"/>
      <c r="F53" s="18"/>
      <c r="G53" s="18"/>
      <c r="H53" s="18"/>
      <c r="I53" s="18"/>
      <c r="J53" s="18"/>
      <c r="K53" s="17"/>
      <c r="L53" s="17"/>
      <c r="M53" s="34"/>
      <c r="N53" s="14"/>
      <c r="O53" s="35" t="s">
        <v>112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>
      <c r="A54" s="15" t="s">
        <v>114</v>
      </c>
      <c r="B54" s="37" t="s">
        <v>115</v>
      </c>
      <c r="C54" s="18"/>
      <c r="D54" s="18"/>
      <c r="E54" s="18"/>
      <c r="F54" s="18"/>
      <c r="G54" s="18"/>
      <c r="H54" s="18"/>
      <c r="I54" s="18"/>
      <c r="J54" s="18"/>
      <c r="K54" s="17"/>
      <c r="L54" s="17"/>
      <c r="M54" s="34"/>
      <c r="N54" s="14"/>
      <c r="O54" s="35" t="s">
        <v>114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>
      <c r="A55" s="1" t="s">
        <v>116</v>
      </c>
      <c r="B55" s="7">
        <v>2135328</v>
      </c>
      <c r="C55" s="7">
        <v>2125287</v>
      </c>
      <c r="D55" s="7">
        <v>1944320</v>
      </c>
      <c r="E55" s="7">
        <v>2007130</v>
      </c>
      <c r="F55" s="7">
        <v>2077423</v>
      </c>
      <c r="G55" s="7">
        <v>2088416</v>
      </c>
      <c r="H55" s="7">
        <v>2084883</v>
      </c>
      <c r="I55" s="7">
        <v>2193626</v>
      </c>
      <c r="J55" s="7">
        <v>2222818</v>
      </c>
      <c r="K55">
        <v>2232310</v>
      </c>
      <c r="L55">
        <v>2125980</v>
      </c>
      <c r="M55" s="1">
        <v>2087976</v>
      </c>
      <c r="N55" s="14"/>
      <c r="O55" s="32" t="s">
        <v>116</v>
      </c>
      <c r="P55" s="2">
        <v>4385035</v>
      </c>
      <c r="Q55" s="13">
        <v>4395313</v>
      </c>
    </row>
    <row r="56" spans="1:28">
      <c r="A56" s="1" t="s">
        <v>117</v>
      </c>
      <c r="B56" s="7">
        <v>631558</v>
      </c>
      <c r="C56" s="7">
        <v>629805</v>
      </c>
      <c r="D56" s="7">
        <v>639705</v>
      </c>
      <c r="E56" s="7">
        <v>640108</v>
      </c>
      <c r="F56" s="7">
        <v>644075</v>
      </c>
      <c r="G56" s="7">
        <v>652509</v>
      </c>
      <c r="H56" s="7">
        <v>658059</v>
      </c>
      <c r="I56" s="7">
        <v>654350</v>
      </c>
      <c r="J56" s="7">
        <v>655670</v>
      </c>
      <c r="K56" s="2">
        <v>658140</v>
      </c>
      <c r="L56" s="2">
        <v>655135</v>
      </c>
      <c r="M56" s="1">
        <v>657641</v>
      </c>
      <c r="N56" s="14"/>
      <c r="O56" s="32" t="s">
        <v>117</v>
      </c>
      <c r="P56" s="2">
        <v>689477</v>
      </c>
      <c r="Q56" s="2">
        <v>658082</v>
      </c>
    </row>
    <row r="57" spans="1:28">
      <c r="A57" s="1" t="s">
        <v>118</v>
      </c>
      <c r="B57" s="7">
        <v>1836384</v>
      </c>
      <c r="C57" s="7">
        <v>1847044</v>
      </c>
      <c r="D57" s="7">
        <v>1877063</v>
      </c>
      <c r="E57" s="7">
        <v>1711064</v>
      </c>
      <c r="F57" s="7">
        <v>1738612</v>
      </c>
      <c r="G57" s="7">
        <v>1759882</v>
      </c>
      <c r="H57" s="7">
        <v>1795519</v>
      </c>
      <c r="I57" s="7">
        <v>1830154</v>
      </c>
      <c r="J57" s="7">
        <v>1943261</v>
      </c>
      <c r="K57">
        <v>1983564</v>
      </c>
      <c r="L57">
        <v>2001057</v>
      </c>
      <c r="M57" s="1">
        <v>2162635</v>
      </c>
      <c r="N57" s="14"/>
      <c r="O57" s="32" t="s">
        <v>118</v>
      </c>
      <c r="P57" s="2">
        <v>2161850</v>
      </c>
      <c r="Q57" s="13">
        <v>2168088</v>
      </c>
    </row>
    <row r="58" spans="1:28">
      <c r="A58" s="1" t="s">
        <v>119</v>
      </c>
      <c r="B58" s="7">
        <v>5745768</v>
      </c>
      <c r="C58" s="7">
        <v>5815587</v>
      </c>
      <c r="D58" s="7">
        <v>5861943</v>
      </c>
      <c r="E58" s="7">
        <v>5907581</v>
      </c>
      <c r="F58" s="7">
        <v>5769310</v>
      </c>
      <c r="G58" s="7">
        <v>5802818</v>
      </c>
      <c r="H58" s="7">
        <v>5917611</v>
      </c>
      <c r="I58" s="7">
        <v>6026786</v>
      </c>
      <c r="J58" s="7">
        <v>6122773</v>
      </c>
      <c r="K58" s="2">
        <v>6214406</v>
      </c>
      <c r="L58" s="2">
        <v>6193550</v>
      </c>
      <c r="M58" s="1">
        <v>6211788</v>
      </c>
      <c r="N58" s="14"/>
      <c r="O58" s="32" t="s">
        <v>119</v>
      </c>
      <c r="P58" s="2">
        <v>6218334</v>
      </c>
      <c r="Q58" s="13">
        <v>6302802</v>
      </c>
    </row>
    <row r="59" spans="1:28">
      <c r="A59" s="1" t="s">
        <v>120</v>
      </c>
      <c r="B59" s="7">
        <v>112787</v>
      </c>
      <c r="C59" s="7">
        <v>113463</v>
      </c>
      <c r="D59" s="7">
        <v>115048</v>
      </c>
      <c r="E59" s="7">
        <v>115007</v>
      </c>
      <c r="F59" s="7">
        <v>116922</v>
      </c>
      <c r="G59" s="7">
        <v>116204</v>
      </c>
      <c r="H59" s="7">
        <v>115780</v>
      </c>
      <c r="I59" s="7">
        <v>115500</v>
      </c>
      <c r="J59" s="7">
        <v>116854</v>
      </c>
      <c r="K59" s="2">
        <v>112989</v>
      </c>
      <c r="L59" s="2">
        <v>111836</v>
      </c>
      <c r="M59" s="1">
        <v>115189</v>
      </c>
      <c r="N59" s="14"/>
      <c r="O59" s="32" t="s">
        <v>120</v>
      </c>
      <c r="P59" s="2">
        <v>117335</v>
      </c>
      <c r="Q59" s="2">
        <v>117764</v>
      </c>
    </row>
    <row r="60" spans="1:28">
      <c r="A60" s="1" t="s">
        <v>121</v>
      </c>
      <c r="B60" s="7">
        <v>946038</v>
      </c>
      <c r="C60" s="7">
        <v>968848</v>
      </c>
      <c r="D60" s="7">
        <v>967056</v>
      </c>
      <c r="E60" s="7">
        <v>967091</v>
      </c>
      <c r="F60" s="7">
        <v>975980</v>
      </c>
      <c r="G60" s="7">
        <v>973100</v>
      </c>
      <c r="H60" s="7">
        <v>981944</v>
      </c>
      <c r="I60" s="7">
        <v>990036</v>
      </c>
      <c r="J60" s="7">
        <v>1006772</v>
      </c>
      <c r="K60" s="2">
        <v>998531</v>
      </c>
      <c r="L60" s="2">
        <v>1019253</v>
      </c>
      <c r="M60" s="1">
        <v>1027655</v>
      </c>
      <c r="N60" s="14"/>
      <c r="O60" s="32" t="s">
        <v>121</v>
      </c>
      <c r="P60" s="2">
        <v>1032262</v>
      </c>
      <c r="Q60" s="2">
        <v>1036142</v>
      </c>
    </row>
    <row r="61" spans="1:28">
      <c r="A61" s="1" t="s">
        <v>122</v>
      </c>
      <c r="B61" s="7">
        <v>841.375</v>
      </c>
      <c r="C61" s="3">
        <v>848.098</v>
      </c>
      <c r="D61" s="3">
        <v>833.987</v>
      </c>
      <c r="E61" s="3">
        <v>849.233</v>
      </c>
      <c r="F61" s="3">
        <v>858.332</v>
      </c>
      <c r="G61" s="3">
        <v>870.102</v>
      </c>
      <c r="H61" s="3">
        <v>880.198</v>
      </c>
      <c r="I61" s="3">
        <v>895.283</v>
      </c>
      <c r="J61" s="3">
        <v>902.224</v>
      </c>
      <c r="K61">
        <v>909417</v>
      </c>
      <c r="L61">
        <v>917806</v>
      </c>
      <c r="M61" s="1">
        <v>913505</v>
      </c>
      <c r="N61" s="14"/>
      <c r="O61" s="32" t="s">
        <v>122</v>
      </c>
      <c r="P61" s="2">
        <v>902462</v>
      </c>
      <c r="Q61" s="2">
        <v>901563</v>
      </c>
    </row>
    <row r="62" spans="1:28">
      <c r="A62" s="1" t="s">
        <v>132</v>
      </c>
      <c r="B62" s="7">
        <v>569.812</v>
      </c>
      <c r="C62" s="3">
        <v>586.609</v>
      </c>
      <c r="D62" s="3">
        <v>595.054</v>
      </c>
      <c r="E62" s="3">
        <v>659.905</v>
      </c>
      <c r="F62" s="3">
        <v>656.542</v>
      </c>
      <c r="G62" s="3">
        <v>666.95</v>
      </c>
      <c r="H62" s="7">
        <v>687350</v>
      </c>
      <c r="I62" s="3">
        <v>704.676</v>
      </c>
      <c r="J62" s="3">
        <v>718.601</v>
      </c>
      <c r="K62">
        <v>729742</v>
      </c>
      <c r="L62">
        <v>740.109</v>
      </c>
      <c r="M62" s="1">
        <v>751328</v>
      </c>
      <c r="N62" s="14"/>
      <c r="O62" s="32" t="s">
        <v>132</v>
      </c>
      <c r="P62" s="2">
        <v>759765</v>
      </c>
      <c r="Q62" s="2">
        <v>761945</v>
      </c>
    </row>
    <row r="63" spans="1:28">
      <c r="A63" s="1" t="s">
        <v>142</v>
      </c>
      <c r="B63" s="7">
        <v>442849.98</v>
      </c>
      <c r="C63" s="7">
        <v>442250.4</v>
      </c>
      <c r="D63" s="7">
        <v>451370.39</v>
      </c>
      <c r="E63" s="7">
        <v>460419.73</v>
      </c>
      <c r="F63" s="7">
        <v>460700</v>
      </c>
      <c r="G63" s="7">
        <v>477844</v>
      </c>
      <c r="H63" s="7">
        <v>485948</v>
      </c>
      <c r="I63" s="7">
        <v>472512</v>
      </c>
      <c r="J63" s="7">
        <v>484529</v>
      </c>
      <c r="K63" s="2">
        <v>489553</v>
      </c>
      <c r="L63" s="2">
        <v>493149</v>
      </c>
      <c r="M63" s="1">
        <v>496937</v>
      </c>
      <c r="N63" s="14"/>
      <c r="O63" s="32" t="s">
        <v>142</v>
      </c>
      <c r="P63" s="2">
        <v>504561</v>
      </c>
      <c r="Q63" s="2">
        <v>511461</v>
      </c>
    </row>
    <row r="64" spans="1:28">
      <c r="A64" s="1" t="s">
        <v>143</v>
      </c>
      <c r="B64" s="7">
        <v>315704.71</v>
      </c>
      <c r="C64" s="7">
        <v>320449.99</v>
      </c>
      <c r="D64" s="7">
        <v>329119.51</v>
      </c>
      <c r="E64" s="7">
        <v>330820.34</v>
      </c>
      <c r="F64" s="7">
        <v>327727.84</v>
      </c>
      <c r="G64" s="7">
        <v>329579.44</v>
      </c>
      <c r="H64" s="7">
        <v>332624</v>
      </c>
      <c r="I64" s="7">
        <v>333004.11</v>
      </c>
      <c r="J64" s="7">
        <v>337091.64</v>
      </c>
      <c r="K64" s="2">
        <v>336732.74</v>
      </c>
      <c r="L64" s="2">
        <v>336576.96</v>
      </c>
      <c r="M64" s="1">
        <v>338014.55</v>
      </c>
      <c r="N64" s="14"/>
      <c r="O64" s="32" t="s">
        <v>143</v>
      </c>
      <c r="P64" s="2">
        <v>347973.42</v>
      </c>
      <c r="Q64" s="2">
        <v>348521.66</v>
      </c>
    </row>
    <row r="65" spans="1:28">
      <c r="A65" s="1" t="s">
        <v>144</v>
      </c>
      <c r="B65" s="7">
        <v>169279</v>
      </c>
      <c r="C65" s="7">
        <v>165599</v>
      </c>
      <c r="D65" s="7">
        <v>149000</v>
      </c>
      <c r="E65" s="7">
        <v>173324</v>
      </c>
      <c r="F65" s="7">
        <v>176304</v>
      </c>
      <c r="G65" s="7">
        <v>196562</v>
      </c>
      <c r="H65" s="7">
        <v>199131</v>
      </c>
      <c r="I65" s="7">
        <v>200454</v>
      </c>
      <c r="J65" s="7">
        <v>203984</v>
      </c>
      <c r="K65" s="2">
        <v>207125</v>
      </c>
      <c r="L65" s="2">
        <v>208954</v>
      </c>
      <c r="M65" s="1">
        <v>239418</v>
      </c>
      <c r="N65" s="14"/>
      <c r="O65" s="32" t="s">
        <v>144</v>
      </c>
      <c r="P65" s="2">
        <v>240786</v>
      </c>
      <c r="Q65" s="2">
        <v>241595</v>
      </c>
    </row>
    <row r="66" spans="1:28">
      <c r="A66" s="1" t="s">
        <v>145</v>
      </c>
      <c r="B66" s="7">
        <v>233908</v>
      </c>
      <c r="C66" s="7">
        <v>234491</v>
      </c>
      <c r="D66" s="7">
        <v>232551</v>
      </c>
      <c r="E66" s="7">
        <v>236667</v>
      </c>
      <c r="F66" s="7">
        <v>239867</v>
      </c>
      <c r="G66" s="7">
        <v>241132</v>
      </c>
      <c r="H66" s="7">
        <v>243085</v>
      </c>
      <c r="I66" s="7">
        <v>247401</v>
      </c>
      <c r="J66" s="7">
        <v>248729</v>
      </c>
      <c r="K66" s="2">
        <v>247366</v>
      </c>
      <c r="L66" s="2">
        <v>250711</v>
      </c>
      <c r="M66" s="1">
        <v>246188</v>
      </c>
      <c r="N66" s="14"/>
      <c r="O66" s="32" t="s">
        <v>145</v>
      </c>
      <c r="P66" s="2">
        <v>246640</v>
      </c>
      <c r="Q66" s="2">
        <v>246526</v>
      </c>
    </row>
    <row r="67" spans="1:28">
      <c r="A67" s="1" t="s">
        <v>146</v>
      </c>
      <c r="B67" s="7">
        <v>403876</v>
      </c>
      <c r="C67" s="7">
        <v>404261</v>
      </c>
      <c r="D67" s="7">
        <v>394441</v>
      </c>
      <c r="E67" s="7">
        <v>399522</v>
      </c>
      <c r="F67" s="7">
        <v>356729</v>
      </c>
      <c r="G67" s="7">
        <v>362574</v>
      </c>
      <c r="H67" s="7">
        <v>364721</v>
      </c>
      <c r="I67" s="7">
        <v>352721</v>
      </c>
      <c r="J67" s="7">
        <v>359728</v>
      </c>
      <c r="K67" s="2">
        <v>363786</v>
      </c>
      <c r="L67" s="2">
        <v>369286</v>
      </c>
      <c r="M67" s="1">
        <v>396663</v>
      </c>
      <c r="N67" s="14"/>
      <c r="O67" s="32" t="s">
        <v>146</v>
      </c>
      <c r="P67" s="2">
        <v>385140</v>
      </c>
      <c r="Q67" s="2">
        <v>382443</v>
      </c>
    </row>
    <row r="68" spans="1:28">
      <c r="A68" s="1" t="s">
        <v>147</v>
      </c>
      <c r="B68" s="7">
        <v>1175783</v>
      </c>
      <c r="C68" s="7">
        <v>1204546</v>
      </c>
      <c r="D68" s="7">
        <v>1216075</v>
      </c>
      <c r="E68" s="7">
        <v>1236083</v>
      </c>
      <c r="F68" s="7">
        <v>1139818</v>
      </c>
      <c r="G68" s="7">
        <v>1139618</v>
      </c>
      <c r="H68" s="7">
        <v>1168818</v>
      </c>
      <c r="I68" s="7">
        <v>1180335</v>
      </c>
      <c r="J68" s="7">
        <v>1218196</v>
      </c>
      <c r="K68" s="2">
        <v>1223180</v>
      </c>
      <c r="L68">
        <v>1234920</v>
      </c>
      <c r="M68" s="1">
        <v>1221610</v>
      </c>
      <c r="N68" s="14"/>
      <c r="O68" s="32" t="s">
        <v>147</v>
      </c>
      <c r="P68" s="2">
        <v>1224453</v>
      </c>
      <c r="Q68" s="2">
        <v>1258305</v>
      </c>
    </row>
    <row r="69" spans="1:28">
      <c r="A69" s="1" t="s">
        <v>148</v>
      </c>
      <c r="B69" s="7">
        <v>1222139</v>
      </c>
      <c r="C69" s="7">
        <v>1213678</v>
      </c>
      <c r="D69" s="7">
        <v>1220323</v>
      </c>
      <c r="E69" s="7">
        <v>1255818</v>
      </c>
      <c r="F69" s="7">
        <v>1268418</v>
      </c>
      <c r="G69" s="7">
        <v>1189625</v>
      </c>
      <c r="H69" s="7">
        <v>1211876</v>
      </c>
      <c r="I69" s="7">
        <v>1233004</v>
      </c>
      <c r="J69" s="7">
        <v>1242310</v>
      </c>
      <c r="K69">
        <v>1220469</v>
      </c>
      <c r="L69">
        <v>1234595</v>
      </c>
      <c r="M69" s="1">
        <v>1230403</v>
      </c>
      <c r="N69" s="14"/>
      <c r="O69" s="32" t="s">
        <v>148</v>
      </c>
      <c r="P69" s="2">
        <v>1241943</v>
      </c>
      <c r="Q69" s="2">
        <v>1239399</v>
      </c>
    </row>
    <row r="70" spans="1:28">
      <c r="A70" s="1" t="s">
        <v>149</v>
      </c>
      <c r="B70" s="7">
        <v>566651</v>
      </c>
      <c r="C70" s="7">
        <v>574367</v>
      </c>
      <c r="D70" s="7">
        <v>577524</v>
      </c>
      <c r="E70" s="7">
        <v>589505</v>
      </c>
      <c r="F70" s="7">
        <v>585707</v>
      </c>
      <c r="G70" s="7">
        <v>590672</v>
      </c>
      <c r="H70" s="7">
        <v>597799</v>
      </c>
      <c r="I70" s="7">
        <v>587366</v>
      </c>
      <c r="J70" s="7">
        <v>576515</v>
      </c>
      <c r="K70">
        <v>523681</v>
      </c>
      <c r="L70">
        <v>504629</v>
      </c>
      <c r="M70" s="1">
        <v>490443</v>
      </c>
      <c r="N70" s="14"/>
      <c r="O70" s="32" t="s">
        <v>149</v>
      </c>
      <c r="P70" s="2">
        <v>493469</v>
      </c>
      <c r="Q70" s="2">
        <v>495235</v>
      </c>
    </row>
    <row r="71" spans="1:28">
      <c r="A71" s="1" t="s">
        <v>150</v>
      </c>
      <c r="B71" s="7">
        <v>440250</v>
      </c>
      <c r="C71" s="7">
        <v>444802</v>
      </c>
      <c r="D71" s="7">
        <v>445630</v>
      </c>
      <c r="E71" s="7">
        <v>452194</v>
      </c>
      <c r="F71" s="7">
        <v>452333</v>
      </c>
      <c r="G71" s="7">
        <v>454740</v>
      </c>
      <c r="H71" s="7">
        <v>458914</v>
      </c>
      <c r="I71" s="7">
        <v>463810</v>
      </c>
      <c r="J71" s="7">
        <v>465398</v>
      </c>
      <c r="K71">
        <v>467101</v>
      </c>
      <c r="L71">
        <v>470276</v>
      </c>
      <c r="M71" s="1">
        <v>455486</v>
      </c>
      <c r="N71" s="14"/>
      <c r="O71" s="32" t="s">
        <v>150</v>
      </c>
      <c r="P71" s="2">
        <v>456078</v>
      </c>
      <c r="Q71" s="2">
        <v>459220</v>
      </c>
    </row>
    <row r="72" spans="1:28">
      <c r="A72" s="1" t="s">
        <v>151</v>
      </c>
      <c r="B72" s="7">
        <v>1610294</v>
      </c>
      <c r="C72" s="7">
        <v>1629107</v>
      </c>
      <c r="D72" s="7">
        <v>2680587</v>
      </c>
      <c r="E72" s="7">
        <v>1697801</v>
      </c>
      <c r="F72" s="7">
        <v>1726399</v>
      </c>
      <c r="G72" s="7">
        <v>1762486</v>
      </c>
      <c r="H72" s="7">
        <v>1794831</v>
      </c>
      <c r="I72" s="7">
        <v>1834703</v>
      </c>
      <c r="J72" s="7">
        <v>1833892</v>
      </c>
      <c r="K72">
        <v>1557157</v>
      </c>
      <c r="L72">
        <v>311456</v>
      </c>
      <c r="M72" s="1">
        <v>1907713</v>
      </c>
      <c r="N72" s="14"/>
      <c r="O72" s="32" t="s">
        <v>151</v>
      </c>
      <c r="P72" s="2">
        <v>1893373</v>
      </c>
      <c r="Q72" s="2">
        <v>1897149</v>
      </c>
    </row>
    <row r="73" spans="1:28">
      <c r="A73" s="1" t="s">
        <v>152</v>
      </c>
      <c r="B73" s="7">
        <v>1572271</v>
      </c>
      <c r="C73" s="7">
        <v>1583573</v>
      </c>
      <c r="D73" s="7">
        <v>1582541</v>
      </c>
      <c r="E73" s="7">
        <v>1604134</v>
      </c>
      <c r="F73" s="7">
        <v>1619394</v>
      </c>
      <c r="G73" s="7">
        <v>1635703</v>
      </c>
      <c r="H73" s="7">
        <v>1657118</v>
      </c>
      <c r="I73" s="7">
        <v>1670230</v>
      </c>
      <c r="J73" s="7">
        <v>1670598</v>
      </c>
      <c r="K73" s="2">
        <v>1706895</v>
      </c>
      <c r="L73" s="2">
        <v>1701351.58</v>
      </c>
      <c r="M73" s="1">
        <v>1738378</v>
      </c>
      <c r="N73" s="14"/>
      <c r="O73" s="32" t="s">
        <v>152</v>
      </c>
      <c r="P73" s="2">
        <v>1739258.64</v>
      </c>
      <c r="Q73" s="2">
        <v>1748339.92</v>
      </c>
    </row>
    <row r="74" spans="1:28">
      <c r="A74" s="1" t="s">
        <v>153</v>
      </c>
      <c r="B74" s="7">
        <v>253314</v>
      </c>
      <c r="C74" s="7">
        <v>252292</v>
      </c>
      <c r="D74" s="7">
        <v>247316</v>
      </c>
      <c r="E74" s="7">
        <v>251086</v>
      </c>
      <c r="F74" s="7">
        <v>239874</v>
      </c>
      <c r="G74" s="7">
        <v>231855</v>
      </c>
      <c r="H74" s="7">
        <v>231975</v>
      </c>
      <c r="I74" s="7">
        <v>234233</v>
      </c>
      <c r="J74" s="7">
        <v>234333</v>
      </c>
      <c r="K74" s="2">
        <v>234336</v>
      </c>
      <c r="L74" s="2">
        <v>234340</v>
      </c>
      <c r="M74" s="1">
        <v>249382</v>
      </c>
      <c r="N74" s="14"/>
      <c r="O74" s="32" t="s">
        <v>153</v>
      </c>
      <c r="P74" s="2">
        <v>243970</v>
      </c>
      <c r="Q74" s="2">
        <v>233095</v>
      </c>
    </row>
    <row r="75" spans="1:28">
      <c r="A75" s="1" t="s">
        <v>154</v>
      </c>
      <c r="B75" s="7">
        <v>906650</v>
      </c>
      <c r="C75" s="7">
        <v>918600</v>
      </c>
      <c r="D75" s="7">
        <v>937250</v>
      </c>
      <c r="E75" s="7">
        <v>931462</v>
      </c>
      <c r="F75" s="7">
        <v>948949</v>
      </c>
      <c r="G75" s="7">
        <v>966338</v>
      </c>
      <c r="H75" s="7">
        <v>979725</v>
      </c>
      <c r="I75" s="7">
        <v>992237</v>
      </c>
      <c r="J75" s="7">
        <v>1007142</v>
      </c>
      <c r="K75" s="2">
        <v>1015342</v>
      </c>
      <c r="L75" s="2">
        <v>1031775</v>
      </c>
      <c r="M75" s="1">
        <v>1029253</v>
      </c>
      <c r="N75" s="14"/>
      <c r="O75" s="32" t="s">
        <v>154</v>
      </c>
      <c r="P75" s="2">
        <v>1058347</v>
      </c>
      <c r="Q75" s="2">
        <v>1065777</v>
      </c>
    </row>
    <row r="76" spans="1:28">
      <c r="A76" s="8"/>
      <c r="B76" s="3"/>
      <c r="C76" s="3"/>
      <c r="D76" s="3"/>
      <c r="E76" s="3"/>
      <c r="F76" s="3"/>
      <c r="G76" s="3"/>
      <c r="H76" s="3"/>
      <c r="I76" s="3"/>
      <c r="J76" s="3"/>
      <c r="L76" s="2"/>
      <c r="M76" s="1"/>
      <c r="N76" s="14"/>
      <c r="O76" s="33"/>
      <c r="P76" s="21">
        <f>sum(P3:P75)</f>
        <v>92111201.828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8">
      <c r="A77" s="23" t="s">
        <v>156</v>
      </c>
      <c r="B77" s="25"/>
      <c r="C77" s="25"/>
      <c r="D77" s="25"/>
      <c r="E77" s="25"/>
      <c r="F77" s="25"/>
      <c r="G77" s="25"/>
      <c r="H77" s="25"/>
      <c r="I77" s="25"/>
      <c r="J77" s="25"/>
      <c r="K77" s="24"/>
      <c r="L77" s="24"/>
      <c r="M77" s="23"/>
      <c r="N77" s="14"/>
      <c r="O77" s="38" t="s">
        <v>156</v>
      </c>
    </row>
    <row r="78" spans="1:28">
      <c r="A78" s="1" t="s">
        <v>157</v>
      </c>
      <c r="B78" s="7">
        <v>2557083</v>
      </c>
      <c r="C78" s="7">
        <v>2493244</v>
      </c>
      <c r="D78" s="7">
        <v>2469929</v>
      </c>
      <c r="E78" s="7">
        <v>2697403</v>
      </c>
      <c r="F78" s="7">
        <v>2547660</v>
      </c>
      <c r="G78" s="7">
        <v>2555177</v>
      </c>
      <c r="H78" s="7">
        <v>2593201</v>
      </c>
      <c r="I78" s="7">
        <v>2638913</v>
      </c>
      <c r="J78" s="7">
        <v>2697403</v>
      </c>
      <c r="K78" s="2">
        <v>2756231</v>
      </c>
      <c r="L78" s="2">
        <v>2714506</v>
      </c>
      <c r="M78" s="1">
        <v>2812589</v>
      </c>
      <c r="N78" s="14"/>
      <c r="O78" s="32" t="s">
        <v>157</v>
      </c>
      <c r="P78" s="2">
        <v>2780048</v>
      </c>
      <c r="Q78" s="2">
        <v>2755484</v>
      </c>
    </row>
    <row r="79" spans="1:28">
      <c r="A79" s="1" t="s">
        <v>170</v>
      </c>
      <c r="B79" s="7">
        <v>1508956</v>
      </c>
      <c r="C79" s="7">
        <v>1541256</v>
      </c>
      <c r="D79" s="7">
        <v>1491352</v>
      </c>
      <c r="E79" s="7">
        <v>1536427</v>
      </c>
      <c r="F79" s="7">
        <v>1550245</v>
      </c>
      <c r="G79" s="7">
        <v>1556028</v>
      </c>
      <c r="H79" s="7">
        <v>1580785</v>
      </c>
      <c r="I79" s="7">
        <v>1612342</v>
      </c>
      <c r="J79" s="7">
        <v>1636082</v>
      </c>
      <c r="K79" s="2">
        <v>1669562</v>
      </c>
      <c r="M79" s="8"/>
      <c r="N79" s="14"/>
      <c r="O79" s="32" t="s">
        <v>170</v>
      </c>
      <c r="P79" s="2">
        <v>1576800</v>
      </c>
      <c r="Q79" s="2">
        <v>1604791</v>
      </c>
    </row>
    <row r="80" spans="1:28">
      <c r="A80" s="1" t="s">
        <v>183</v>
      </c>
      <c r="B80" s="39">
        <v>-1127393</v>
      </c>
      <c r="C80" s="39">
        <v>-1086672</v>
      </c>
      <c r="D80" s="39">
        <v>-1045573</v>
      </c>
      <c r="E80" s="39">
        <v>-1002514</v>
      </c>
      <c r="F80" s="39">
        <v>-2154426</v>
      </c>
      <c r="G80" s="39">
        <v>-2096749</v>
      </c>
      <c r="H80" s="39">
        <v>-1928275</v>
      </c>
      <c r="I80" s="39">
        <v>-1905693</v>
      </c>
      <c r="J80" s="39">
        <v>-1900643</v>
      </c>
      <c r="K80" s="2">
        <v>-1962336</v>
      </c>
      <c r="M80" s="8"/>
      <c r="N80" s="14"/>
      <c r="O80" s="32" t="s">
        <v>183</v>
      </c>
      <c r="P80" s="2">
        <v>-2005410</v>
      </c>
      <c r="Q80" s="2">
        <v>-1925864</v>
      </c>
    </row>
    <row r="81" spans="1:28">
      <c r="A81" s="1" t="s">
        <v>196</v>
      </c>
      <c r="B81" s="7" t="s">
        <v>373</v>
      </c>
      <c r="C81" s="7" t="s">
        <v>374</v>
      </c>
      <c r="D81" s="7" t="s">
        <v>375</v>
      </c>
      <c r="E81" s="7" t="s">
        <v>376</v>
      </c>
      <c r="F81" s="7" t="s">
        <v>377</v>
      </c>
      <c r="G81" s="7" t="s">
        <v>378</v>
      </c>
      <c r="H81" s="7" t="s">
        <v>379</v>
      </c>
      <c r="I81" s="7" t="s">
        <v>380</v>
      </c>
      <c r="J81" s="7" t="s">
        <v>381</v>
      </c>
      <c r="K81" s="3" t="s">
        <v>382</v>
      </c>
      <c r="M81" s="8"/>
      <c r="N81" s="14"/>
      <c r="O81" s="32" t="s">
        <v>196</v>
      </c>
      <c r="P81" s="2">
        <v>1799317</v>
      </c>
      <c r="Q81" s="2">
        <v>1729994</v>
      </c>
    </row>
    <row r="82" spans="1:28">
      <c r="A82" s="1" t="s">
        <v>209</v>
      </c>
      <c r="B82" s="7">
        <v>775497</v>
      </c>
      <c r="C82" s="7">
        <v>780028</v>
      </c>
      <c r="D82" s="7">
        <v>781719</v>
      </c>
      <c r="E82" s="7">
        <v>787922</v>
      </c>
      <c r="F82" s="7">
        <v>791857</v>
      </c>
      <c r="G82" s="7">
        <v>823936</v>
      </c>
      <c r="H82" s="7">
        <v>841810</v>
      </c>
      <c r="I82" s="7">
        <v>854291</v>
      </c>
      <c r="J82" s="7">
        <v>857463</v>
      </c>
      <c r="K82" s="2">
        <v>877884</v>
      </c>
      <c r="M82" s="8"/>
      <c r="N82" s="14"/>
      <c r="O82" s="32" t="s">
        <v>209</v>
      </c>
      <c r="P82" s="2">
        <v>897366</v>
      </c>
      <c r="Q82" s="2">
        <v>897195</v>
      </c>
    </row>
    <row r="83" spans="1:28">
      <c r="A83" s="1" t="s">
        <v>222</v>
      </c>
      <c r="B83" s="7">
        <v>975080</v>
      </c>
      <c r="C83" s="7">
        <v>985707</v>
      </c>
      <c r="D83" s="7">
        <v>908175</v>
      </c>
      <c r="E83" s="7">
        <v>908175</v>
      </c>
      <c r="F83" s="7">
        <v>990436</v>
      </c>
      <c r="G83" s="7">
        <v>994164</v>
      </c>
      <c r="H83" s="7">
        <v>1011578</v>
      </c>
      <c r="I83" s="7">
        <v>1035872</v>
      </c>
      <c r="J83" s="7">
        <v>1058143</v>
      </c>
      <c r="K83" s="2">
        <v>1081415</v>
      </c>
      <c r="M83" s="8"/>
      <c r="N83" s="14"/>
      <c r="O83" s="32" t="s">
        <v>222</v>
      </c>
      <c r="P83" s="2">
        <v>1188375</v>
      </c>
      <c r="Q83" s="2">
        <v>1186259</v>
      </c>
    </row>
    <row r="84" spans="1:28">
      <c r="A84" s="1" t="s">
        <v>235</v>
      </c>
      <c r="B84" s="7">
        <v>335546</v>
      </c>
      <c r="C84" s="7">
        <v>337070</v>
      </c>
      <c r="D84" s="7">
        <v>335247</v>
      </c>
      <c r="E84" s="7">
        <v>336301</v>
      </c>
      <c r="F84" s="7">
        <v>339241</v>
      </c>
      <c r="G84" s="7">
        <v>623856</v>
      </c>
      <c r="H84" s="7">
        <v>625091</v>
      </c>
      <c r="I84" s="7">
        <v>629744</v>
      </c>
      <c r="J84" s="7">
        <v>631049</v>
      </c>
      <c r="K84" s="2">
        <v>633515</v>
      </c>
      <c r="M84" s="8"/>
      <c r="N84" s="14"/>
      <c r="O84" s="32" t="s">
        <v>235</v>
      </c>
      <c r="P84" s="2">
        <v>908116</v>
      </c>
      <c r="Q84" s="2">
        <v>915859</v>
      </c>
    </row>
    <row r="85" spans="1:28">
      <c r="A85" s="1" t="s">
        <v>248</v>
      </c>
      <c r="B85" s="7"/>
      <c r="C85" s="3"/>
      <c r="D85" s="3"/>
      <c r="E85" s="3"/>
      <c r="F85" s="3"/>
      <c r="G85" s="3"/>
      <c r="H85" s="3"/>
      <c r="I85" s="3"/>
      <c r="J85" s="3"/>
      <c r="M85" s="8"/>
      <c r="N85" s="14"/>
      <c r="O85" s="32" t="s">
        <v>248</v>
      </c>
      <c r="P85" s="2">
        <v>610848</v>
      </c>
      <c r="Q85" s="2">
        <v>556966</v>
      </c>
    </row>
    <row r="86" spans="1:28">
      <c r="A86" s="8"/>
      <c r="B86" s="3"/>
      <c r="C86" s="3"/>
      <c r="D86" s="3"/>
      <c r="E86" s="3"/>
      <c r="F86" s="3"/>
      <c r="G86" s="3"/>
      <c r="H86" s="3"/>
      <c r="I86" s="3"/>
      <c r="J86" s="3"/>
      <c r="M86" s="8"/>
      <c r="N86" s="14"/>
      <c r="O86" s="33" t="s">
        <v>155</v>
      </c>
      <c r="P86" s="40">
        <f>sum(P85:P78)</f>
        <v>7755460</v>
      </c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8">
      <c r="A87" s="23" t="s">
        <v>249</v>
      </c>
      <c r="B87" s="25"/>
      <c r="C87" s="25"/>
      <c r="D87" s="25"/>
      <c r="E87" s="25"/>
      <c r="F87" s="25"/>
      <c r="G87" s="25"/>
      <c r="H87" s="25"/>
      <c r="I87" s="25"/>
      <c r="J87" s="25"/>
      <c r="K87" s="24"/>
      <c r="L87" s="24"/>
      <c r="M87" s="23"/>
      <c r="N87" s="14"/>
      <c r="O87" s="38" t="s">
        <v>249</v>
      </c>
    </row>
    <row r="88" spans="1:28">
      <c r="A88" s="1" t="s">
        <v>250</v>
      </c>
      <c r="B88" s="7">
        <v>5425263</v>
      </c>
      <c r="C88" s="7">
        <v>3416505</v>
      </c>
      <c r="D88" s="7">
        <v>5173828</v>
      </c>
      <c r="E88" s="7">
        <v>5449578</v>
      </c>
      <c r="F88" s="7">
        <v>5511341</v>
      </c>
      <c r="G88" s="7">
        <v>558839019</v>
      </c>
      <c r="H88" s="7">
        <v>569595558</v>
      </c>
      <c r="I88" s="7">
        <v>576712003</v>
      </c>
      <c r="J88" s="7">
        <v>596007801</v>
      </c>
      <c r="K88" s="7">
        <v>607563738</v>
      </c>
      <c r="L88" s="7">
        <v>586932585</v>
      </c>
      <c r="M88" s="1">
        <v>5868578.16</v>
      </c>
      <c r="N88" s="14"/>
      <c r="O88" s="32" t="s">
        <v>250</v>
      </c>
      <c r="P88" s="2">
        <v>4767858.04</v>
      </c>
      <c r="Q88" s="2">
        <v>4790211.81</v>
      </c>
    </row>
    <row r="89" spans="1:28" ht="15.28053114822933" customHeight="1">
      <c r="A89" s="1" t="s">
        <v>251</v>
      </c>
      <c r="B89" s="7">
        <v>-3522.399</v>
      </c>
      <c r="C89" s="7">
        <v>-3624432</v>
      </c>
      <c r="D89" s="7">
        <v>-3342408</v>
      </c>
      <c r="E89" s="7">
        <v>-2501863</v>
      </c>
      <c r="F89" s="7">
        <v>-2027512</v>
      </c>
      <c r="G89" s="7">
        <v>-2518384</v>
      </c>
      <c r="H89" s="7">
        <v>-2703704</v>
      </c>
      <c r="I89" s="7">
        <v>-2945440</v>
      </c>
      <c r="J89" s="7">
        <v>-2433939</v>
      </c>
      <c r="K89" s="7">
        <v>-2239137</v>
      </c>
      <c r="L89" s="7">
        <v>-2242476</v>
      </c>
      <c r="M89" s="1">
        <v>-2667542</v>
      </c>
      <c r="N89" s="14"/>
      <c r="O89" s="32" t="s">
        <v>251</v>
      </c>
      <c r="P89" s="17"/>
      <c r="Q89" s="17"/>
    </row>
    <row r="90" spans="1:28" ht="15.311216277490075" customHeight="1">
      <c r="A90" s="1" t="s">
        <v>252</v>
      </c>
      <c r="B90" s="7">
        <v>3322645</v>
      </c>
      <c r="C90" s="7">
        <v>3254798</v>
      </c>
      <c r="D90" s="7">
        <v>3294310</v>
      </c>
      <c r="E90" s="7">
        <v>3457462</v>
      </c>
      <c r="F90" s="7">
        <v>3425207</v>
      </c>
      <c r="G90" s="7">
        <v>3429575</v>
      </c>
      <c r="H90" s="7">
        <v>3502315</v>
      </c>
      <c r="I90" s="7">
        <v>3419830</v>
      </c>
      <c r="J90" s="7">
        <v>3449636</v>
      </c>
      <c r="K90" s="7">
        <v>3522887</v>
      </c>
      <c r="L90" s="7">
        <v>3532097</v>
      </c>
      <c r="M90" s="1">
        <v>3509579</v>
      </c>
      <c r="N90" s="14"/>
      <c r="O90" s="32" t="s">
        <v>252</v>
      </c>
      <c r="P90" s="2">
        <v>3564797</v>
      </c>
      <c r="Q90" s="2">
        <v>3709927</v>
      </c>
    </row>
    <row r="91" spans="1:28" ht="16.299011739220685" customHeight="1">
      <c r="A91" s="1" t="s">
        <v>253</v>
      </c>
      <c r="B91" s="7">
        <v>439457</v>
      </c>
      <c r="C91" s="7">
        <v>403959</v>
      </c>
      <c r="D91" s="7">
        <v>429978</v>
      </c>
      <c r="E91" s="7">
        <v>431520</v>
      </c>
      <c r="F91" s="7">
        <v>444924</v>
      </c>
      <c r="G91" s="7">
        <v>442763</v>
      </c>
      <c r="H91" s="7">
        <v>440015</v>
      </c>
      <c r="I91" s="7"/>
      <c r="J91" s="7">
        <v>444321</v>
      </c>
      <c r="K91" s="7">
        <v>449441</v>
      </c>
      <c r="L91" s="7">
        <v>454194</v>
      </c>
      <c r="M91" s="1">
        <v>444865</v>
      </c>
      <c r="N91" s="14"/>
      <c r="O91" s="32" t="s">
        <v>253</v>
      </c>
      <c r="P91" s="2">
        <v>438023</v>
      </c>
    </row>
    <row r="92" spans="1:28" ht="14.817298198168677" customHeight="1">
      <c r="A92" s="1" t="s">
        <v>254</v>
      </c>
      <c r="B92" s="7">
        <v>239013</v>
      </c>
      <c r="C92" s="7">
        <v>236242</v>
      </c>
      <c r="D92" s="7">
        <v>239179</v>
      </c>
      <c r="E92" s="7">
        <v>236777</v>
      </c>
      <c r="F92" s="7">
        <v>244025</v>
      </c>
      <c r="G92" s="7">
        <v>242430</v>
      </c>
      <c r="H92" s="7">
        <v>243069</v>
      </c>
      <c r="I92" s="7">
        <v>241933</v>
      </c>
      <c r="J92" s="7">
        <v>249696</v>
      </c>
      <c r="K92" s="7">
        <v>247662</v>
      </c>
      <c r="L92" s="7">
        <v>253692</v>
      </c>
      <c r="M92" s="1">
        <v>260097</v>
      </c>
      <c r="N92" s="14"/>
      <c r="O92" s="32" t="s">
        <v>254</v>
      </c>
      <c r="P92" s="2">
        <v>261276</v>
      </c>
      <c r="Q92" s="2">
        <v>261928</v>
      </c>
    </row>
    <row r="93" spans="1:28" ht="15.805114008355304" customHeight="1">
      <c r="A93" s="1" t="s">
        <v>255</v>
      </c>
      <c r="B93" s="7">
        <v>18621748</v>
      </c>
      <c r="C93" s="7">
        <v>18414335</v>
      </c>
      <c r="D93" s="7">
        <v>18132227</v>
      </c>
      <c r="E93" s="7">
        <v>18544306</v>
      </c>
      <c r="F93" s="7">
        <v>18602077</v>
      </c>
      <c r="G93" s="7">
        <v>18643467</v>
      </c>
      <c r="H93" s="7">
        <v>18674100</v>
      </c>
      <c r="I93" s="7">
        <v>18822052</v>
      </c>
      <c r="J93" s="7">
        <v>19210982</v>
      </c>
      <c r="K93" s="7">
        <v>19483579</v>
      </c>
      <c r="L93" s="7">
        <v>19509873</v>
      </c>
      <c r="M93" s="1">
        <v>20476373</v>
      </c>
      <c r="N93" s="14"/>
      <c r="O93" s="32" t="s">
        <v>255</v>
      </c>
      <c r="P93" s="2">
        <v>20542695</v>
      </c>
      <c r="Q93" s="2">
        <v>20703592</v>
      </c>
    </row>
    <row r="94" spans="1:28" ht="14.817298198168677" customHeight="1">
      <c r="A94" s="1" t="s">
        <v>256</v>
      </c>
      <c r="B94" s="7">
        <v>1785890</v>
      </c>
      <c r="C94" s="7">
        <v>1788939</v>
      </c>
      <c r="D94" s="7">
        <v>1812492</v>
      </c>
      <c r="E94" s="7">
        <v>1614119</v>
      </c>
      <c r="F94" s="7">
        <v>1591637</v>
      </c>
      <c r="G94" s="7">
        <v>1580002</v>
      </c>
      <c r="H94" s="7">
        <v>1587564</v>
      </c>
      <c r="I94" s="7">
        <v>1588613</v>
      </c>
      <c r="J94" s="7">
        <v>1591635</v>
      </c>
      <c r="K94" s="7">
        <v>1598443</v>
      </c>
      <c r="L94" s="7">
        <v>1598719</v>
      </c>
      <c r="M94" s="1">
        <v>1603536</v>
      </c>
      <c r="N94" s="14"/>
      <c r="O94" s="32" t="s">
        <v>256</v>
      </c>
      <c r="P94" s="2">
        <v>1623451</v>
      </c>
      <c r="Q94" s="2">
        <v>1645442</v>
      </c>
    </row>
    <row r="95" spans="1:28" ht="16.299032087676853" customHeight="1">
      <c r="A95" s="1" t="s">
        <v>257</v>
      </c>
      <c r="B95" s="7">
        <v>2053541</v>
      </c>
      <c r="C95" s="7">
        <v>2045875</v>
      </c>
      <c r="D95" s="7">
        <v>2065548</v>
      </c>
      <c r="E95" s="7">
        <v>2094067</v>
      </c>
      <c r="F95" s="7">
        <v>1981952</v>
      </c>
      <c r="G95" s="7">
        <v>2014138</v>
      </c>
      <c r="H95" s="7">
        <v>2053659</v>
      </c>
      <c r="I95" s="7">
        <v>2076215</v>
      </c>
      <c r="J95" s="7">
        <v>2118086</v>
      </c>
      <c r="K95" s="7">
        <v>2137560</v>
      </c>
      <c r="L95" s="7">
        <v>2123744</v>
      </c>
      <c r="M95" s="1">
        <v>2174302</v>
      </c>
      <c r="N95" s="14"/>
      <c r="O95" s="32" t="s">
        <v>257</v>
      </c>
      <c r="P95" s="2">
        <v>2149314</v>
      </c>
      <c r="Q95" s="2">
        <v>2140227</v>
      </c>
    </row>
    <row r="96" spans="1:28" ht="15.291377931565117" customHeight="1">
      <c r="A96" s="1" t="s">
        <v>258</v>
      </c>
      <c r="B96" s="7">
        <v>1417124</v>
      </c>
      <c r="C96" s="7">
        <v>1431308</v>
      </c>
      <c r="D96" s="7">
        <v>1936326</v>
      </c>
      <c r="E96" s="7">
        <v>1959066</v>
      </c>
      <c r="F96" s="7">
        <v>1395128</v>
      </c>
      <c r="G96" s="7">
        <v>1906141</v>
      </c>
      <c r="H96" s="7">
        <v>1909902</v>
      </c>
      <c r="I96" s="7">
        <v>1926767</v>
      </c>
      <c r="J96" s="7">
        <v>1426529</v>
      </c>
      <c r="K96" s="7">
        <v>1443431</v>
      </c>
      <c r="L96" s="7">
        <v>1457469</v>
      </c>
      <c r="M96" s="1">
        <v>1460367</v>
      </c>
      <c r="N96" s="14"/>
      <c r="O96" s="32" t="s">
        <v>258</v>
      </c>
      <c r="P96" s="2">
        <v>1466379</v>
      </c>
      <c r="Q96" s="2">
        <v>1478486</v>
      </c>
    </row>
    <row r="97" spans="1:28" ht="16.299011739220685" customHeight="1">
      <c r="A97" s="1" t="s">
        <v>259</v>
      </c>
      <c r="B97" s="7">
        <v>177177</v>
      </c>
      <c r="C97" s="7">
        <v>189334</v>
      </c>
      <c r="D97" s="7">
        <v>199064</v>
      </c>
      <c r="E97" s="7">
        <v>209046</v>
      </c>
      <c r="F97" s="7">
        <v>219637</v>
      </c>
      <c r="G97" s="7">
        <v>224314</v>
      </c>
      <c r="H97" s="7">
        <v>252210</v>
      </c>
      <c r="I97" s="7">
        <v>263467</v>
      </c>
      <c r="J97" s="7">
        <v>268278</v>
      </c>
      <c r="K97" s="7">
        <v>275722</v>
      </c>
      <c r="L97" s="7">
        <v>296584</v>
      </c>
      <c r="M97" s="1">
        <v>307451</v>
      </c>
      <c r="N97" s="14"/>
      <c r="O97" s="32" t="s">
        <v>259</v>
      </c>
      <c r="P97" s="2">
        <v>324634</v>
      </c>
      <c r="Q97" s="2">
        <v>335296</v>
      </c>
    </row>
    <row r="98" spans="1:28" ht="17.286847897863485" customHeight="1">
      <c r="A98" s="1" t="s">
        <v>260</v>
      </c>
      <c r="B98" s="7">
        <v>16001781</v>
      </c>
      <c r="C98" s="7">
        <v>16082705</v>
      </c>
      <c r="D98" s="7">
        <v>16130514</v>
      </c>
      <c r="E98" s="7">
        <v>16370907</v>
      </c>
      <c r="F98" s="7">
        <v>16456206</v>
      </c>
      <c r="G98" s="7">
        <v>16485637</v>
      </c>
      <c r="H98" s="7">
        <v>16529564</v>
      </c>
      <c r="I98" s="7">
        <v>16577768</v>
      </c>
      <c r="J98" s="7">
        <v>16607057</v>
      </c>
      <c r="K98" s="7">
        <v>16665364</v>
      </c>
      <c r="L98" s="7">
        <v>16666384</v>
      </c>
      <c r="M98" s="1">
        <v>166917.31</v>
      </c>
      <c r="N98" s="14"/>
      <c r="O98" s="32" t="s">
        <v>260</v>
      </c>
      <c r="P98" s="2">
        <v>166415</v>
      </c>
      <c r="Q98" s="2">
        <v>164884.9</v>
      </c>
    </row>
    <row r="99" spans="1:28" ht="18.274663708049957" customHeight="1">
      <c r="A99" s="1" t="s">
        <v>261</v>
      </c>
      <c r="B99" s="7">
        <v>284852</v>
      </c>
      <c r="C99" s="7">
        <v>287057</v>
      </c>
      <c r="D99" s="7">
        <v>284081</v>
      </c>
      <c r="E99" s="7">
        <v>284529</v>
      </c>
      <c r="F99" s="7">
        <v>287470</v>
      </c>
      <c r="G99" s="7">
        <v>288976</v>
      </c>
      <c r="H99" s="7">
        <v>303736</v>
      </c>
      <c r="I99" s="7">
        <v>346583</v>
      </c>
      <c r="J99" s="7">
        <v>1794759</v>
      </c>
      <c r="K99" s="7">
        <v>327059</v>
      </c>
      <c r="L99" s="7">
        <v>331329</v>
      </c>
      <c r="M99" s="1">
        <v>339096</v>
      </c>
      <c r="N99" s="14"/>
      <c r="O99" s="32" t="s">
        <v>261</v>
      </c>
      <c r="P99" s="2">
        <v>343403</v>
      </c>
      <c r="Q99" s="2">
        <v>343420</v>
      </c>
    </row>
    <row r="100" spans="1:28" ht="17.286847897863485" customHeight="1">
      <c r="A100" s="15" t="s">
        <v>262</v>
      </c>
      <c r="B100" s="28">
        <v>143165</v>
      </c>
      <c r="C100" s="28">
        <v>145843</v>
      </c>
      <c r="D100" s="28">
        <v>139007</v>
      </c>
      <c r="E100" s="28">
        <v>137396</v>
      </c>
      <c r="F100" s="28">
        <v>135979</v>
      </c>
      <c r="G100" s="28">
        <v>13934</v>
      </c>
      <c r="H100" s="28">
        <v>140063</v>
      </c>
      <c r="I100" s="28">
        <v>140441</v>
      </c>
      <c r="J100" s="28">
        <v>141265</v>
      </c>
      <c r="K100" s="28">
        <v>13987</v>
      </c>
      <c r="L100" s="28">
        <v>14069</v>
      </c>
      <c r="M100" s="15">
        <v>134358</v>
      </c>
      <c r="N100" s="41"/>
      <c r="O100" s="35" t="s">
        <v>262</v>
      </c>
      <c r="P100" s="17" t="s">
        <v>383</v>
      </c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16.79292981854208" customHeight="1">
      <c r="A101" s="1" t="s">
        <v>263</v>
      </c>
      <c r="B101" s="7">
        <v>601072</v>
      </c>
      <c r="C101" s="7">
        <v>62034</v>
      </c>
      <c r="D101" s="7">
        <v>620038</v>
      </c>
      <c r="E101" s="7">
        <v>640037</v>
      </c>
      <c r="F101" s="7">
        <v>642334</v>
      </c>
      <c r="G101" s="7">
        <v>644861</v>
      </c>
      <c r="H101" s="7">
        <v>646114</v>
      </c>
      <c r="I101" s="7">
        <v>647482</v>
      </c>
      <c r="J101" s="7">
        <v>652982</v>
      </c>
      <c r="K101" s="7">
        <v>638251</v>
      </c>
      <c r="L101" s="7">
        <v>647741</v>
      </c>
      <c r="M101" s="1">
        <v>658587</v>
      </c>
      <c r="N101" s="14"/>
      <c r="O101" s="32" t="s">
        <v>263</v>
      </c>
      <c r="P101" s="2">
        <v>663874</v>
      </c>
      <c r="Q101" s="2">
        <v>673888</v>
      </c>
    </row>
    <row r="102" spans="1:28" ht="16.299011739220685" customHeight="1">
      <c r="A102" s="1" t="s">
        <v>264</v>
      </c>
      <c r="B102" s="7">
        <v>778559</v>
      </c>
      <c r="C102" s="7">
        <v>807252</v>
      </c>
      <c r="D102" s="7">
        <v>823907</v>
      </c>
      <c r="E102" s="7">
        <v>877362</v>
      </c>
      <c r="F102" s="7">
        <v>899254</v>
      </c>
      <c r="G102" s="7">
        <v>929262</v>
      </c>
      <c r="H102" s="7">
        <v>956108</v>
      </c>
      <c r="I102" s="7">
        <v>988224</v>
      </c>
      <c r="J102" s="7">
        <v>1003356</v>
      </c>
      <c r="K102" s="7">
        <v>1058781</v>
      </c>
      <c r="L102" s="7">
        <v>1049604</v>
      </c>
      <c r="M102" s="1">
        <v>1066548</v>
      </c>
      <c r="N102" s="14"/>
      <c r="O102" s="32" t="s">
        <v>264</v>
      </c>
      <c r="P102" s="2">
        <v>1067185</v>
      </c>
      <c r="Q102" s="2">
        <v>1139461</v>
      </c>
    </row>
    <row r="103" spans="1:28" ht="15.784791404144626" customHeight="1">
      <c r="A103" s="1" t="s">
        <v>265</v>
      </c>
      <c r="B103" s="7">
        <v>248743</v>
      </c>
      <c r="C103" s="7">
        <v>248984</v>
      </c>
      <c r="D103" s="7">
        <v>250179</v>
      </c>
      <c r="E103" s="7">
        <v>251133</v>
      </c>
      <c r="F103" s="7">
        <v>251261</v>
      </c>
      <c r="G103" s="7">
        <v>221075</v>
      </c>
      <c r="H103" s="7">
        <v>221787</v>
      </c>
      <c r="I103" s="7">
        <v>225587</v>
      </c>
      <c r="J103" s="7">
        <v>222051</v>
      </c>
      <c r="K103" s="7">
        <v>222685</v>
      </c>
      <c r="L103" s="7">
        <v>222988</v>
      </c>
      <c r="M103" s="1">
        <v>223213.26</v>
      </c>
      <c r="N103" s="14"/>
      <c r="O103" s="32" t="s">
        <v>265</v>
      </c>
      <c r="P103" s="2">
        <v>225560</v>
      </c>
      <c r="Q103" s="2">
        <v>227599.34</v>
      </c>
    </row>
    <row r="104" spans="1:28" ht="15.805114008355304" customHeight="1">
      <c r="A104" s="1" t="s">
        <v>266</v>
      </c>
      <c r="B104" s="7">
        <v>121624</v>
      </c>
      <c r="C104" s="7">
        <v>116379</v>
      </c>
      <c r="D104" s="7">
        <v>112672</v>
      </c>
      <c r="E104" s="7">
        <v>112458</v>
      </c>
      <c r="F104" s="7">
        <v>110963</v>
      </c>
      <c r="G104" s="7">
        <v>108696</v>
      </c>
      <c r="H104" s="7">
        <v>111448</v>
      </c>
      <c r="I104" s="7">
        <v>114334</v>
      </c>
      <c r="J104" s="7">
        <v>159486</v>
      </c>
      <c r="K104" s="7">
        <v>160157</v>
      </c>
      <c r="L104" s="7">
        <v>157112</v>
      </c>
      <c r="M104" s="1">
        <v>148324</v>
      </c>
      <c r="N104" s="14"/>
      <c r="O104" s="32" t="s">
        <v>266</v>
      </c>
      <c r="P104" s="2">
        <v>147971</v>
      </c>
      <c r="Q104" s="2">
        <v>145555.79</v>
      </c>
    </row>
    <row r="105" spans="1:28" ht="14.32338011884743" customHeight="1">
      <c r="A105" s="1" t="s">
        <v>267</v>
      </c>
      <c r="B105" s="7">
        <v>105786624</v>
      </c>
      <c r="C105" s="7">
        <v>125832610</v>
      </c>
      <c r="D105" s="7">
        <v>115655466</v>
      </c>
      <c r="E105" s="7">
        <v>132839543</v>
      </c>
      <c r="F105" s="7">
        <v>134782182</v>
      </c>
      <c r="G105" s="7">
        <v>125124964</v>
      </c>
      <c r="H105" s="7">
        <v>101548194</v>
      </c>
      <c r="I105" s="7">
        <v>110326415</v>
      </c>
      <c r="J105" s="7">
        <v>112773725</v>
      </c>
      <c r="K105" s="7">
        <v>155158329</v>
      </c>
      <c r="L105" s="7">
        <v>195869759</v>
      </c>
      <c r="M105" s="1">
        <v>1613554.75</v>
      </c>
      <c r="N105" s="14"/>
      <c r="O105" s="32" t="s">
        <v>267</v>
      </c>
      <c r="P105" s="2">
        <v>1487319</v>
      </c>
      <c r="Q105" s="2">
        <v>1218975.46</v>
      </c>
    </row>
    <row r="106" spans="1:28" ht="15.805114008355607" customHeight="1">
      <c r="A106" s="1" t="s">
        <v>268</v>
      </c>
      <c r="B106" s="7">
        <v>684319</v>
      </c>
      <c r="C106" s="7">
        <v>706698</v>
      </c>
      <c r="D106" s="7">
        <v>662130</v>
      </c>
      <c r="E106" s="7">
        <v>747229</v>
      </c>
      <c r="F106" s="7">
        <v>793125</v>
      </c>
      <c r="G106" s="7">
        <v>826434</v>
      </c>
      <c r="H106" s="7">
        <v>894184</v>
      </c>
      <c r="I106" s="7">
        <v>992696</v>
      </c>
      <c r="J106" s="7">
        <v>994808</v>
      </c>
      <c r="K106" s="7">
        <v>1116323</v>
      </c>
      <c r="L106" s="7">
        <v>1066414</v>
      </c>
      <c r="M106" s="1">
        <v>1032930</v>
      </c>
      <c r="N106" s="14"/>
      <c r="O106" s="32" t="s">
        <v>268</v>
      </c>
      <c r="P106" s="2">
        <v>996635</v>
      </c>
      <c r="Q106" s="2">
        <v>990799.49</v>
      </c>
    </row>
    <row r="107" spans="1:28" ht="14.323359770390807" customHeight="1">
      <c r="A107" s="1" t="s">
        <v>269</v>
      </c>
      <c r="B107" s="7">
        <v>811551</v>
      </c>
      <c r="C107" s="7">
        <v>817555</v>
      </c>
      <c r="D107" s="7">
        <v>81935</v>
      </c>
      <c r="E107" s="7">
        <v>828743</v>
      </c>
      <c r="F107" s="7">
        <v>850193</v>
      </c>
      <c r="G107" s="7">
        <v>859329</v>
      </c>
      <c r="H107" s="7">
        <v>886217</v>
      </c>
      <c r="I107" s="7">
        <v>916096</v>
      </c>
      <c r="J107" s="7">
        <v>932708</v>
      </c>
      <c r="K107" s="7">
        <v>963758</v>
      </c>
      <c r="L107" s="7">
        <v>984626</v>
      </c>
      <c r="M107" s="1">
        <v>984533</v>
      </c>
      <c r="N107" s="14"/>
      <c r="O107" s="32" t="s">
        <v>269</v>
      </c>
      <c r="P107" s="2">
        <v>1005640</v>
      </c>
      <c r="Q107" s="2">
        <v>1012210</v>
      </c>
    </row>
    <row r="108" spans="1:28" ht="16.792970515454424" customHeight="1">
      <c r="A108" s="1" t="s">
        <v>270</v>
      </c>
      <c r="B108" s="7">
        <v>126997</v>
      </c>
      <c r="C108" s="7">
        <v>124403</v>
      </c>
      <c r="D108" s="7">
        <v>120520</v>
      </c>
      <c r="E108" s="7">
        <v>116515</v>
      </c>
      <c r="F108" s="7">
        <v>119246</v>
      </c>
      <c r="G108" s="7">
        <v>114294</v>
      </c>
      <c r="H108" s="7">
        <v>117823</v>
      </c>
      <c r="I108" s="7">
        <v>113515</v>
      </c>
      <c r="J108" s="7">
        <v>117056</v>
      </c>
      <c r="K108" s="7">
        <v>110908</v>
      </c>
      <c r="L108" s="7">
        <v>115554</v>
      </c>
      <c r="M108" s="1">
        <v>117509</v>
      </c>
      <c r="N108" s="14"/>
      <c r="O108" s="32" t="s">
        <v>270</v>
      </c>
      <c r="P108" s="2">
        <v>115911</v>
      </c>
      <c r="Q108" s="2">
        <v>113769</v>
      </c>
    </row>
    <row r="109" spans="1:28" ht="14.32342081575977" customHeight="1">
      <c r="A109" s="1" t="s">
        <v>271</v>
      </c>
      <c r="B109" s="7">
        <v>350912</v>
      </c>
      <c r="C109" s="7">
        <v>532363</v>
      </c>
      <c r="D109" s="7">
        <v>465417</v>
      </c>
      <c r="E109" s="7">
        <v>517116</v>
      </c>
      <c r="F109" s="7">
        <v>654912</v>
      </c>
      <c r="G109" s="7">
        <v>646331</v>
      </c>
      <c r="H109" s="7">
        <v>607188</v>
      </c>
      <c r="I109" s="7">
        <v>768849</v>
      </c>
      <c r="J109" s="7">
        <v>756014</v>
      </c>
      <c r="K109" s="7">
        <v>1008807</v>
      </c>
      <c r="L109" s="7">
        <v>1839298</v>
      </c>
      <c r="M109" s="1">
        <v>1143097</v>
      </c>
      <c r="N109" s="14"/>
      <c r="O109" s="32" t="s">
        <v>271</v>
      </c>
      <c r="P109" s="2">
        <v>1110118</v>
      </c>
      <c r="Q109" s="2">
        <v>797275</v>
      </c>
    </row>
    <row r="110" spans="1:28" ht="16.76488755211115" customHeight="1">
      <c r="A110" s="1" t="s">
        <v>272</v>
      </c>
      <c r="B110" s="7">
        <v>373388</v>
      </c>
      <c r="C110" s="7">
        <v>401713</v>
      </c>
      <c r="D110" s="7">
        <v>342268</v>
      </c>
      <c r="E110" s="7">
        <v>308482</v>
      </c>
      <c r="F110" s="7">
        <v>352083</v>
      </c>
      <c r="G110" s="7">
        <v>323741</v>
      </c>
      <c r="H110" s="7">
        <v>309066</v>
      </c>
      <c r="I110" s="7">
        <v>351159</v>
      </c>
      <c r="J110" s="7">
        <v>371583</v>
      </c>
      <c r="K110" s="7">
        <v>413588</v>
      </c>
      <c r="L110" s="7">
        <v>812591</v>
      </c>
      <c r="M110" s="1">
        <v>737859</v>
      </c>
      <c r="N110" s="14"/>
      <c r="O110" s="32" t="s">
        <v>272</v>
      </c>
      <c r="P110" s="2">
        <v>767403</v>
      </c>
      <c r="Q110" s="2">
        <v>640447</v>
      </c>
    </row>
    <row r="111" spans="1:28" ht="16.792950166998406" customHeight="1">
      <c r="A111" s="1" t="s">
        <v>273</v>
      </c>
      <c r="B111" s="7">
        <v>19454520</v>
      </c>
      <c r="C111" s="7">
        <v>21593324</v>
      </c>
      <c r="D111" s="7">
        <v>19896148</v>
      </c>
      <c r="E111" s="7">
        <v>18387441</v>
      </c>
      <c r="F111" s="7">
        <v>19902163</v>
      </c>
      <c r="G111" s="7">
        <v>18663559</v>
      </c>
      <c r="H111" s="7">
        <v>18146536</v>
      </c>
      <c r="I111" s="7">
        <v>20251310</v>
      </c>
      <c r="J111" s="7">
        <v>20044355</v>
      </c>
      <c r="K111" s="7">
        <v>19581703</v>
      </c>
      <c r="L111" s="7">
        <v>29417050</v>
      </c>
      <c r="M111" s="1">
        <v>377143.22</v>
      </c>
      <c r="N111" s="14"/>
      <c r="O111" s="32" t="s">
        <v>273</v>
      </c>
      <c r="P111" s="2">
        <v>365484</v>
      </c>
      <c r="Q111" s="2">
        <v>298249.61</v>
      </c>
    </row>
    <row r="112" spans="1:28" ht="16.79290947008576" customHeight="1">
      <c r="A112" s="1" t="s">
        <v>274</v>
      </c>
      <c r="B112" s="7">
        <v>131361</v>
      </c>
      <c r="C112" s="7">
        <v>129883</v>
      </c>
      <c r="D112" s="7">
        <v>129002</v>
      </c>
      <c r="E112" s="7">
        <v>136273</v>
      </c>
      <c r="F112" s="7">
        <v>136224</v>
      </c>
      <c r="G112" s="7">
        <v>180686</v>
      </c>
      <c r="H112" s="7">
        <v>184365</v>
      </c>
      <c r="I112" s="7">
        <v>188497</v>
      </c>
      <c r="J112" s="7">
        <v>192366</v>
      </c>
      <c r="K112" s="7">
        <v>196191</v>
      </c>
      <c r="L112" s="7">
        <v>197498</v>
      </c>
      <c r="M112" s="1">
        <v>200055</v>
      </c>
      <c r="N112" s="14"/>
      <c r="O112" s="32" t="s">
        <v>274</v>
      </c>
      <c r="P112" s="2">
        <v>203693</v>
      </c>
      <c r="Q112" s="2">
        <v>207863</v>
      </c>
    </row>
    <row r="113" spans="1:28" ht="15.311216277490226" customHeight="1">
      <c r="A113" s="1" t="s">
        <v>275</v>
      </c>
      <c r="B113" s="7">
        <v>203620</v>
      </c>
      <c r="C113" s="7">
        <v>201536</v>
      </c>
      <c r="D113" s="7">
        <v>208056</v>
      </c>
      <c r="E113" s="7">
        <v>221529</v>
      </c>
      <c r="F113" s="7">
        <v>236222</v>
      </c>
      <c r="G113" s="7">
        <v>231148</v>
      </c>
      <c r="H113" s="7">
        <v>239771</v>
      </c>
      <c r="I113" s="7">
        <v>258102</v>
      </c>
      <c r="J113" s="7">
        <v>278880</v>
      </c>
      <c r="K113" s="7">
        <v>304945</v>
      </c>
      <c r="L113" s="7">
        <v>308221</v>
      </c>
      <c r="M113" s="1">
        <v>319912</v>
      </c>
      <c r="N113" s="14"/>
      <c r="O113" s="32" t="s">
        <v>275</v>
      </c>
      <c r="P113" s="2">
        <v>337638</v>
      </c>
      <c r="Q113" s="2">
        <v>356520</v>
      </c>
    </row>
    <row r="114" spans="1:28" ht="15.805114008355304" customHeight="1">
      <c r="A114" s="1" t="s">
        <v>276</v>
      </c>
      <c r="B114" s="7">
        <v>245793</v>
      </c>
      <c r="C114" s="7">
        <v>252358</v>
      </c>
      <c r="D114" s="7">
        <v>263746</v>
      </c>
      <c r="E114" s="7">
        <v>275500</v>
      </c>
      <c r="F114" s="7">
        <v>284443</v>
      </c>
      <c r="G114" s="7">
        <v>294115</v>
      </c>
      <c r="H114" s="7">
        <v>303634</v>
      </c>
      <c r="I114" s="7">
        <v>311886</v>
      </c>
      <c r="J114" s="7">
        <v>319371</v>
      </c>
      <c r="K114" s="7">
        <v>332313</v>
      </c>
      <c r="L114" s="7">
        <v>339086</v>
      </c>
      <c r="M114" s="1">
        <v>352653</v>
      </c>
      <c r="N114" s="14"/>
      <c r="O114" s="32" t="s">
        <v>276</v>
      </c>
      <c r="P114" s="2">
        <v>366001</v>
      </c>
      <c r="Q114" s="2">
        <v>377626</v>
      </c>
    </row>
    <row r="115" spans="1:28" ht="15.311195929033905" customHeight="1">
      <c r="A115" s="1" t="s">
        <v>277</v>
      </c>
      <c r="B115" s="7">
        <v>928788</v>
      </c>
      <c r="C115" s="7">
        <v>939680</v>
      </c>
      <c r="D115" s="7">
        <v>944425</v>
      </c>
      <c r="E115" s="7">
        <v>959119</v>
      </c>
      <c r="F115" s="7">
        <v>1009204</v>
      </c>
      <c r="G115" s="7">
        <v>1014826</v>
      </c>
      <c r="H115" s="7">
        <v>1045776</v>
      </c>
      <c r="I115" s="7">
        <v>1048346</v>
      </c>
      <c r="J115" s="7">
        <v>1013768</v>
      </c>
      <c r="K115" s="7">
        <v>1015858</v>
      </c>
      <c r="L115" s="7">
        <v>998667</v>
      </c>
      <c r="M115" s="1">
        <v>1048013</v>
      </c>
      <c r="N115" s="14"/>
      <c r="O115" s="32" t="s">
        <v>277</v>
      </c>
      <c r="P115" s="2">
        <v>1032262</v>
      </c>
      <c r="Q115" s="2">
        <v>1015331</v>
      </c>
    </row>
    <row r="116" spans="1:28" ht="15.311216277490226" customHeight="1">
      <c r="A116" s="1" t="s">
        <v>278</v>
      </c>
      <c r="B116" s="7">
        <v>493696</v>
      </c>
      <c r="C116" s="7">
        <v>501269</v>
      </c>
      <c r="D116" s="7">
        <v>505170</v>
      </c>
      <c r="E116" s="7">
        <v>508032</v>
      </c>
      <c r="F116" s="7">
        <v>514668</v>
      </c>
      <c r="G116" s="7">
        <v>520162</v>
      </c>
      <c r="H116" s="7">
        <v>525568</v>
      </c>
      <c r="I116" s="7">
        <v>531981</v>
      </c>
      <c r="J116" s="7">
        <v>542845</v>
      </c>
      <c r="K116" s="7">
        <v>545823</v>
      </c>
      <c r="L116" s="7">
        <v>555963</v>
      </c>
      <c r="M116" s="1">
        <v>563094</v>
      </c>
      <c r="N116" s="14"/>
      <c r="O116" s="32" t="s">
        <v>278</v>
      </c>
      <c r="P116" s="2">
        <v>567094</v>
      </c>
      <c r="Q116" s="2">
        <v>571778</v>
      </c>
    </row>
    <row r="117" spans="1:28" ht="17.28682754940716" customHeight="1">
      <c r="A117" s="1" t="s">
        <v>279</v>
      </c>
      <c r="B117" s="7">
        <v>144543</v>
      </c>
      <c r="C117" s="7">
        <v>139525</v>
      </c>
      <c r="D117" s="7">
        <v>134221</v>
      </c>
      <c r="E117" s="7">
        <v>111015</v>
      </c>
      <c r="F117" s="7">
        <v>108399</v>
      </c>
      <c r="G117" s="7">
        <v>103487</v>
      </c>
      <c r="H117" s="7">
        <v>96154</v>
      </c>
      <c r="I117" s="7">
        <v>91608</v>
      </c>
      <c r="J117" s="7">
        <v>87068</v>
      </c>
      <c r="K117" s="7">
        <v>81946</v>
      </c>
      <c r="L117" s="7">
        <v>76305</v>
      </c>
      <c r="M117" s="1">
        <v>72474</v>
      </c>
      <c r="N117" s="14"/>
      <c r="O117" s="32" t="s">
        <v>279</v>
      </c>
      <c r="P117" s="2">
        <v>84037</v>
      </c>
      <c r="Q117" s="2">
        <v>75344</v>
      </c>
    </row>
    <row r="118" spans="1:28" ht="17.286888594776126" customHeight="1">
      <c r="A118" s="1" t="s">
        <v>280</v>
      </c>
      <c r="B118" s="7">
        <v>10174037</v>
      </c>
      <c r="C118" s="7">
        <v>10316009</v>
      </c>
      <c r="D118" s="7">
        <v>10331414</v>
      </c>
      <c r="E118" s="7">
        <v>10410824</v>
      </c>
      <c r="F118" s="7"/>
      <c r="G118" s="7">
        <v>10699290</v>
      </c>
      <c r="H118" s="7">
        <v>10863053</v>
      </c>
      <c r="I118" s="7">
        <v>11106098</v>
      </c>
      <c r="J118" s="7">
        <v>11225189</v>
      </c>
      <c r="K118" s="7">
        <v>11427521</v>
      </c>
      <c r="L118" s="7">
        <v>11327645</v>
      </c>
      <c r="M118" s="1">
        <v>11483868</v>
      </c>
      <c r="N118" s="14"/>
      <c r="O118" s="32" t="s">
        <v>280</v>
      </c>
      <c r="P118" s="2">
        <v>11633501</v>
      </c>
    </row>
    <row r="119" spans="1:28">
      <c r="A119" s="1" t="s">
        <v>281</v>
      </c>
      <c r="B119" s="7">
        <v>8700233</v>
      </c>
      <c r="C119" s="7">
        <v>8810704</v>
      </c>
      <c r="D119" s="7">
        <v>9067375</v>
      </c>
      <c r="E119" s="7">
        <v>9338554</v>
      </c>
      <c r="F119" s="7">
        <v>9319611</v>
      </c>
      <c r="G119" s="7">
        <v>9229362</v>
      </c>
      <c r="H119" s="7">
        <v>9467294</v>
      </c>
      <c r="I119" s="7">
        <v>9621784</v>
      </c>
      <c r="J119" s="7">
        <v>9633784</v>
      </c>
      <c r="K119" s="7">
        <v>9606405</v>
      </c>
      <c r="L119" s="7">
        <v>9940038</v>
      </c>
      <c r="M119" s="1">
        <v>8577348</v>
      </c>
      <c r="N119" s="14"/>
      <c r="O119" s="32" t="s">
        <v>281</v>
      </c>
      <c r="P119" s="2">
        <v>8980958</v>
      </c>
      <c r="Q119" s="2">
        <v>9260291</v>
      </c>
    </row>
    <row r="120" spans="1:28" ht="14.860596359871428" customHeight="1">
      <c r="A120" s="1" t="s">
        <v>282</v>
      </c>
      <c r="B120" s="7">
        <v>6366023</v>
      </c>
      <c r="C120" s="7">
        <v>6498166</v>
      </c>
      <c r="D120" s="7">
        <v>6561221</v>
      </c>
      <c r="E120" s="7">
        <v>6750290</v>
      </c>
      <c r="F120" s="7">
        <v>6950266</v>
      </c>
      <c r="G120" s="7">
        <v>7119160</v>
      </c>
      <c r="H120" s="7">
        <v>7221841</v>
      </c>
      <c r="I120" s="7">
        <v>7382253</v>
      </c>
      <c r="J120" s="7">
        <v>7480025</v>
      </c>
      <c r="K120" s="7">
        <v>7633947</v>
      </c>
      <c r="L120" s="7">
        <v>7795497</v>
      </c>
      <c r="M120" s="1">
        <v>6908443</v>
      </c>
      <c r="N120" s="14"/>
      <c r="O120" s="32" t="s">
        <v>282</v>
      </c>
      <c r="P120" s="2">
        <v>7012069</v>
      </c>
      <c r="Q120" s="2">
        <v>7197072.84</v>
      </c>
    </row>
    <row r="121" spans="1:28" ht="17.780745628728557" customHeight="1">
      <c r="A121" s="1" t="s">
        <v>283</v>
      </c>
      <c r="B121" s="7">
        <v>1625536</v>
      </c>
      <c r="C121" s="7">
        <v>1638071</v>
      </c>
      <c r="D121" s="7">
        <v>1637765</v>
      </c>
      <c r="E121" s="7">
        <v>1691440</v>
      </c>
      <c r="F121" s="7">
        <v>1661342</v>
      </c>
      <c r="G121" s="7">
        <v>1660751</v>
      </c>
      <c r="H121" s="7">
        <v>1658174</v>
      </c>
      <c r="I121" s="7">
        <v>1676321</v>
      </c>
      <c r="J121" s="7">
        <v>1711680</v>
      </c>
      <c r="K121" s="7">
        <v>1740714</v>
      </c>
      <c r="L121" s="7">
        <v>1729010</v>
      </c>
      <c r="M121" s="1">
        <v>1746304</v>
      </c>
      <c r="N121" s="14"/>
      <c r="O121" s="32" t="s">
        <v>283</v>
      </c>
      <c r="P121" s="2">
        <v>385140</v>
      </c>
    </row>
    <row r="122" spans="1:28" ht="15.805134356811928" customHeight="1">
      <c r="A122" s="1" t="s">
        <v>284</v>
      </c>
      <c r="B122" s="7">
        <v>3656666</v>
      </c>
      <c r="C122" s="7">
        <v>3729973</v>
      </c>
      <c r="D122" s="7">
        <v>3831752</v>
      </c>
      <c r="E122" s="7">
        <v>3949214</v>
      </c>
      <c r="F122" s="7">
        <v>4073926</v>
      </c>
      <c r="G122" s="7">
        <v>3036292</v>
      </c>
      <c r="H122" s="7">
        <v>3142749</v>
      </c>
      <c r="I122" s="7">
        <v>3229834</v>
      </c>
      <c r="J122" s="7">
        <v>3381421</v>
      </c>
      <c r="K122" s="7">
        <v>3482329</v>
      </c>
      <c r="L122" s="7">
        <v>3630314</v>
      </c>
      <c r="M122" s="1">
        <v>3803971</v>
      </c>
      <c r="N122" s="14"/>
      <c r="O122" s="32" t="s">
        <v>284</v>
      </c>
      <c r="P122" s="2">
        <v>3903266</v>
      </c>
      <c r="Q122" s="2">
        <v>4011864</v>
      </c>
    </row>
    <row r="123" spans="1:28" ht="15.31144823240417" customHeight="1">
      <c r="A123" s="1" t="s">
        <v>285</v>
      </c>
      <c r="B123" s="7">
        <v>2849193</v>
      </c>
      <c r="C123" s="7">
        <v>2833943</v>
      </c>
      <c r="D123" s="7">
        <v>2870727</v>
      </c>
      <c r="E123" s="7">
        <v>2486050</v>
      </c>
      <c r="F123" s="7">
        <v>2454402</v>
      </c>
      <c r="G123" s="7">
        <v>2460575</v>
      </c>
      <c r="H123" s="7">
        <v>2477221</v>
      </c>
      <c r="I123" s="7">
        <v>2467279</v>
      </c>
      <c r="J123" s="7">
        <v>2467353</v>
      </c>
      <c r="K123" s="7">
        <v>2435925</v>
      </c>
      <c r="L123" s="7">
        <v>2612667</v>
      </c>
      <c r="M123" s="1">
        <v>2561528</v>
      </c>
      <c r="N123" s="14"/>
      <c r="O123" s="32" t="s">
        <v>285</v>
      </c>
      <c r="P123" s="2">
        <v>2485385</v>
      </c>
      <c r="Q123" s="2">
        <v>2455243</v>
      </c>
    </row>
    <row r="124" spans="1:28" ht="16.792950166998406" customHeight="1">
      <c r="A124" s="30" t="s">
        <v>286</v>
      </c>
      <c r="B124" s="7">
        <v>1162346</v>
      </c>
      <c r="C124" s="7">
        <v>1196877</v>
      </c>
      <c r="D124" s="7">
        <v>1153376</v>
      </c>
      <c r="E124" s="7">
        <v>1219498</v>
      </c>
      <c r="F124" s="7">
        <v>1243034</v>
      </c>
      <c r="G124" s="7">
        <v>1282447</v>
      </c>
      <c r="H124" s="7">
        <v>1284909</v>
      </c>
      <c r="I124" s="7">
        <v>1304268</v>
      </c>
      <c r="J124" s="7">
        <v>1302750</v>
      </c>
      <c r="K124" s="7">
        <v>1332025</v>
      </c>
      <c r="L124" s="7">
        <v>1328840</v>
      </c>
      <c r="M124" s="1">
        <v>1217370</v>
      </c>
      <c r="N124" s="14"/>
      <c r="O124" s="42" t="s">
        <v>286</v>
      </c>
      <c r="P124" s="2">
        <v>1254850</v>
      </c>
      <c r="Q124" s="2">
        <v>1268297</v>
      </c>
    </row>
    <row r="125" spans="1:28" ht="14.817298198168524" customHeight="1">
      <c r="A125" s="1" t="s">
        <v>287</v>
      </c>
      <c r="B125" s="7">
        <v>1195990</v>
      </c>
      <c r="C125" s="7">
        <v>1152112</v>
      </c>
      <c r="D125" s="7">
        <v>1177798</v>
      </c>
      <c r="E125" s="7">
        <v>1105187</v>
      </c>
      <c r="F125" s="7">
        <v>1074977</v>
      </c>
      <c r="G125" s="7">
        <v>994986</v>
      </c>
      <c r="H125" s="7">
        <v>1051697</v>
      </c>
      <c r="I125" s="7">
        <v>1016991</v>
      </c>
      <c r="J125" s="7">
        <v>1054862</v>
      </c>
      <c r="K125" s="7">
        <v>1049645</v>
      </c>
      <c r="L125" s="7">
        <v>1146559</v>
      </c>
      <c r="M125" s="1">
        <v>1105178</v>
      </c>
      <c r="N125" s="14"/>
      <c r="O125" s="32" t="s">
        <v>287</v>
      </c>
      <c r="P125" s="2">
        <v>1072391</v>
      </c>
      <c r="Q125" s="2">
        <v>1055666.77</v>
      </c>
    </row>
    <row r="126" spans="1:28" ht="17.780745628728862" customHeight="1">
      <c r="A126" s="1" t="s">
        <v>288</v>
      </c>
      <c r="B126" s="7">
        <v>296746</v>
      </c>
      <c r="C126" s="7">
        <v>276470</v>
      </c>
      <c r="D126" s="7">
        <v>267009</v>
      </c>
      <c r="E126" s="7">
        <v>252815</v>
      </c>
      <c r="F126" s="7">
        <v>237110</v>
      </c>
      <c r="G126" s="7">
        <v>466786</v>
      </c>
      <c r="H126" s="7">
        <v>446843</v>
      </c>
      <c r="I126" s="7">
        <v>429606</v>
      </c>
      <c r="J126" s="7">
        <v>341274</v>
      </c>
      <c r="K126" s="7">
        <v>327419</v>
      </c>
      <c r="L126" s="7">
        <v>311546</v>
      </c>
      <c r="M126" s="1">
        <v>289190</v>
      </c>
      <c r="N126" s="14"/>
      <c r="O126" s="32" t="s">
        <v>288</v>
      </c>
      <c r="P126" s="2">
        <v>267328</v>
      </c>
      <c r="Q126" s="2">
        <v>245517</v>
      </c>
    </row>
    <row r="127" spans="1:28" ht="14.817277849712505" customHeight="1">
      <c r="A127" s="1" t="s">
        <v>289</v>
      </c>
      <c r="B127" s="7">
        <v>15538841</v>
      </c>
      <c r="C127" s="7">
        <v>15331695</v>
      </c>
      <c r="D127" s="7">
        <v>15579940</v>
      </c>
      <c r="E127" s="7">
        <v>15584707</v>
      </c>
      <c r="F127" s="7">
        <v>15643074</v>
      </c>
      <c r="G127" s="7">
        <v>15815617</v>
      </c>
      <c r="H127" s="7">
        <v>15711474</v>
      </c>
      <c r="I127" s="7">
        <v>15532832</v>
      </c>
      <c r="J127" s="7">
        <v>15797159</v>
      </c>
      <c r="K127" s="7">
        <v>15765757</v>
      </c>
      <c r="L127" s="7">
        <v>16143126</v>
      </c>
      <c r="M127" s="1">
        <v>16327705</v>
      </c>
      <c r="N127" s="14"/>
      <c r="O127" s="32" t="s">
        <v>289</v>
      </c>
      <c r="P127" s="2">
        <v>16244253</v>
      </c>
      <c r="Q127" s="2">
        <v>16273491</v>
      </c>
    </row>
    <row r="128" spans="1:28">
      <c r="A128" s="1" t="s">
        <v>290</v>
      </c>
      <c r="B128" s="7">
        <v>1641994</v>
      </c>
      <c r="C128" s="7">
        <v>6924178</v>
      </c>
      <c r="D128" s="7">
        <v>6849591</v>
      </c>
      <c r="E128" s="7">
        <v>6876287</v>
      </c>
      <c r="F128" s="7">
        <v>6897672</v>
      </c>
      <c r="G128" s="7">
        <v>6978617</v>
      </c>
      <c r="H128" s="7">
        <v>7137186</v>
      </c>
      <c r="I128" s="7">
        <v>7204976</v>
      </c>
      <c r="J128" s="7">
        <v>7093206</v>
      </c>
      <c r="K128" s="7">
        <v>7351602</v>
      </c>
      <c r="L128" s="7">
        <v>7484523</v>
      </c>
      <c r="M128" s="1">
        <v>7740307</v>
      </c>
      <c r="N128" s="14"/>
      <c r="O128" s="32" t="s">
        <v>290</v>
      </c>
      <c r="P128" s="2">
        <v>7737193</v>
      </c>
      <c r="Q128" s="2">
        <v>7889326</v>
      </c>
    </row>
    <row r="129" spans="1:28" ht="16.118837431838983" customHeight="1">
      <c r="A129" s="1" t="s">
        <v>291</v>
      </c>
      <c r="B129" s="7">
        <v>7558310</v>
      </c>
      <c r="C129" s="7">
        <v>7596730</v>
      </c>
      <c r="D129" s="7">
        <v>7563118</v>
      </c>
      <c r="E129" s="7">
        <v>7752249</v>
      </c>
      <c r="F129" s="7">
        <v>7783089</v>
      </c>
      <c r="G129" s="7">
        <v>7459876</v>
      </c>
      <c r="H129" s="7">
        <v>7501427</v>
      </c>
      <c r="I129" s="7">
        <v>7563917</v>
      </c>
      <c r="J129" s="7">
        <v>7589496</v>
      </c>
      <c r="K129" s="7">
        <v>7667760</v>
      </c>
      <c r="L129" s="7">
        <v>7660242</v>
      </c>
      <c r="M129" s="1">
        <v>7752564</v>
      </c>
      <c r="N129" s="14"/>
      <c r="O129" s="32" t="s">
        <v>291</v>
      </c>
      <c r="P129" s="2">
        <v>7764902</v>
      </c>
      <c r="Q129" s="2">
        <v>7814704.31</v>
      </c>
    </row>
    <row r="130" spans="1:28" ht="15.311195929033905" customHeight="1">
      <c r="A130" s="1" t="s">
        <v>292</v>
      </c>
      <c r="B130" s="7">
        <v>7473803</v>
      </c>
      <c r="C130" s="7">
        <v>7499095</v>
      </c>
      <c r="D130" s="7">
        <v>7500208</v>
      </c>
      <c r="E130" s="7">
        <v>7514629</v>
      </c>
      <c r="F130" s="7">
        <v>7487132</v>
      </c>
      <c r="G130" s="7">
        <v>7528415</v>
      </c>
      <c r="H130" s="7">
        <v>7573981</v>
      </c>
      <c r="I130" s="7">
        <v>7609936</v>
      </c>
      <c r="J130" s="7">
        <v>7667936</v>
      </c>
      <c r="K130" s="7">
        <v>7686392</v>
      </c>
      <c r="L130" s="7">
        <v>7737226</v>
      </c>
      <c r="M130" s="1">
        <v>7730455</v>
      </c>
      <c r="N130" s="14"/>
      <c r="O130" s="32" t="s">
        <v>292</v>
      </c>
      <c r="P130" s="2">
        <v>7734754</v>
      </c>
      <c r="Q130" s="2">
        <v>7771019</v>
      </c>
    </row>
    <row r="131" spans="1:28" ht="16.792950166998406" customHeight="1">
      <c r="A131" s="1" t="s">
        <v>293</v>
      </c>
      <c r="B131" s="7">
        <v>285238</v>
      </c>
      <c r="C131" s="7">
        <v>266632</v>
      </c>
      <c r="D131" s="7">
        <v>262308</v>
      </c>
      <c r="E131" s="7">
        <v>252826</v>
      </c>
      <c r="F131" s="7">
        <v>237861</v>
      </c>
      <c r="G131" s="7">
        <v>376487</v>
      </c>
      <c r="H131" s="7">
        <v>363751</v>
      </c>
      <c r="I131" s="7">
        <v>329558</v>
      </c>
      <c r="J131" s="7">
        <v>305248</v>
      </c>
      <c r="K131" s="7">
        <v>303342</v>
      </c>
      <c r="L131" s="7">
        <v>304833</v>
      </c>
      <c r="M131" s="1">
        <v>298489</v>
      </c>
      <c r="N131" s="14"/>
      <c r="O131" s="32" t="s">
        <v>293</v>
      </c>
      <c r="P131" s="2">
        <v>286993</v>
      </c>
      <c r="Q131" s="2">
        <v>279455</v>
      </c>
    </row>
    <row r="132" spans="1:28" ht="16.79292981854208" customHeight="1">
      <c r="A132" s="1" t="s">
        <v>294</v>
      </c>
      <c r="B132" s="7">
        <v>5990292</v>
      </c>
      <c r="C132" s="7">
        <v>6125229</v>
      </c>
      <c r="D132" s="7">
        <v>6026570</v>
      </c>
      <c r="E132" s="7">
        <v>6198115</v>
      </c>
      <c r="F132" s="7">
        <v>6264736</v>
      </c>
      <c r="G132" s="7">
        <v>6268848</v>
      </c>
      <c r="H132" s="7">
        <v>6383380</v>
      </c>
      <c r="I132" s="7">
        <v>6507815</v>
      </c>
      <c r="J132" s="7">
        <v>6532379</v>
      </c>
      <c r="K132" s="7">
        <v>6848101</v>
      </c>
      <c r="L132" s="7">
        <v>6789659</v>
      </c>
      <c r="M132" s="1">
        <v>6878696</v>
      </c>
      <c r="N132" s="14"/>
      <c r="O132" s="32" t="s">
        <v>294</v>
      </c>
      <c r="P132" s="2">
        <v>6842973</v>
      </c>
      <c r="Q132" s="2">
        <v>6847345</v>
      </c>
    </row>
    <row r="133" spans="1:28">
      <c r="A133" s="1" t="s">
        <v>295</v>
      </c>
      <c r="B133" s="7" t="s">
        <v>384</v>
      </c>
      <c r="C133" s="7" t="s">
        <v>385</v>
      </c>
      <c r="D133" s="7" t="s">
        <v>386</v>
      </c>
      <c r="E133" s="7" t="s">
        <v>387</v>
      </c>
      <c r="F133" s="7" t="s">
        <v>388</v>
      </c>
      <c r="G133" s="7" t="s">
        <v>389</v>
      </c>
      <c r="H133" s="7" t="s">
        <v>390</v>
      </c>
      <c r="I133" s="7" t="s">
        <v>391</v>
      </c>
      <c r="J133" s="7" t="s">
        <v>392</v>
      </c>
      <c r="K133" s="7" t="s">
        <v>393</v>
      </c>
      <c r="L133" s="7" t="s">
        <v>394</v>
      </c>
      <c r="M133" s="1">
        <v>9837679</v>
      </c>
      <c r="N133" s="14"/>
      <c r="O133" s="32" t="s">
        <v>295</v>
      </c>
      <c r="P133" s="2">
        <v>9547104</v>
      </c>
      <c r="Q133" s="2">
        <v>9485180</v>
      </c>
    </row>
    <row r="134" spans="1:28" ht="14.646760237694556" customHeight="1">
      <c r="A134" s="1" t="s">
        <v>296</v>
      </c>
      <c r="B134" s="7">
        <v>4728124</v>
      </c>
      <c r="C134" s="7">
        <v>4771260</v>
      </c>
      <c r="D134" s="7">
        <v>4771623</v>
      </c>
      <c r="E134" s="7">
        <v>4829186</v>
      </c>
      <c r="F134" s="7">
        <v>4849506</v>
      </c>
      <c r="G134" s="7">
        <v>4892877</v>
      </c>
      <c r="H134" s="7">
        <v>4943771</v>
      </c>
      <c r="I134" s="7">
        <v>4987485</v>
      </c>
      <c r="J134" s="7">
        <v>5014825</v>
      </c>
      <c r="K134" s="7">
        <v>5116989</v>
      </c>
      <c r="L134" s="7">
        <v>5168465</v>
      </c>
      <c r="M134" s="1">
        <v>5272974</v>
      </c>
      <c r="N134" s="14"/>
      <c r="O134" s="32" t="s">
        <v>296</v>
      </c>
      <c r="P134" s="2">
        <v>5260443</v>
      </c>
      <c r="Q134" s="2">
        <v>5276691</v>
      </c>
    </row>
    <row r="135" spans="1:28" ht="16.79292981854208" customHeight="1">
      <c r="A135" s="1" t="s">
        <v>297</v>
      </c>
      <c r="B135" s="7">
        <v>169560570</v>
      </c>
      <c r="C135" s="7">
        <v>168997578</v>
      </c>
      <c r="D135" s="7">
        <v>168492871</v>
      </c>
      <c r="E135" s="7">
        <v>167000649</v>
      </c>
      <c r="F135" s="7">
        <v>167625012</v>
      </c>
      <c r="G135" s="7">
        <v>167568329</v>
      </c>
      <c r="H135" s="7">
        <v>167117695</v>
      </c>
      <c r="I135" s="7">
        <v>166694542</v>
      </c>
      <c r="J135" s="7">
        <v>166091992</v>
      </c>
      <c r="K135" s="7">
        <v>165519351</v>
      </c>
      <c r="L135" s="7">
        <v>164910471</v>
      </c>
      <c r="M135" s="1">
        <v>1684632.91</v>
      </c>
      <c r="N135" s="14"/>
      <c r="O135" s="32" t="s">
        <v>297</v>
      </c>
      <c r="P135" s="2">
        <v>1639815</v>
      </c>
      <c r="Q135" s="2">
        <v>1628150</v>
      </c>
    </row>
    <row r="136" spans="1:28">
      <c r="A136" s="8"/>
      <c r="B136" s="3"/>
      <c r="C136" s="3"/>
      <c r="D136" s="3"/>
      <c r="E136" s="3"/>
      <c r="F136" s="3"/>
      <c r="G136" s="3"/>
      <c r="H136" s="3"/>
      <c r="I136" s="3"/>
      <c r="J136" s="3"/>
      <c r="M136" s="1">
        <f>sum(M135:M88)</f>
        <v>145954178.61</v>
      </c>
      <c r="N136" s="14"/>
      <c r="O136" s="33" t="s">
        <v>155</v>
      </c>
      <c r="P136" s="2">
        <f>sum(P135:P88)</f>
        <v>146247414.04</v>
      </c>
    </row>
    <row r="137" spans="1:28">
      <c r="A137" s="8"/>
      <c r="B137" s="3"/>
      <c r="C137" s="3"/>
      <c r="D137" s="3"/>
      <c r="E137" s="3"/>
      <c r="F137" s="3"/>
      <c r="G137" s="3"/>
      <c r="H137" s="3"/>
      <c r="I137" s="3"/>
      <c r="J137" s="3"/>
      <c r="M137" s="8"/>
      <c r="N137" s="14"/>
      <c r="O137" s="33"/>
    </row>
    <row r="138" spans="1:28">
      <c r="A138" s="8" t="s">
        <v>395</v>
      </c>
      <c r="D138" s="3"/>
      <c r="E138" s="3"/>
      <c r="F138" s="3"/>
      <c r="G138" s="3"/>
      <c r="H138" s="3"/>
      <c r="I138" s="3"/>
      <c r="J138" s="3"/>
      <c r="M138" s="8"/>
      <c r="N138" s="14"/>
      <c r="O138" s="33"/>
    </row>
    <row r="139" spans="1:28">
      <c r="A139" s="8" t="s">
        <v>300</v>
      </c>
      <c r="B139" t="s">
        <v>301</v>
      </c>
      <c r="C139" t="s">
        <v>396</v>
      </c>
      <c r="D139" s="3"/>
      <c r="E139" s="3"/>
      <c r="F139" s="3"/>
      <c r="G139" s="3"/>
      <c r="H139" s="3"/>
      <c r="I139" s="3"/>
      <c r="J139" s="3"/>
      <c r="M139" s="8"/>
      <c r="N139" s="14"/>
      <c r="O139" s="33"/>
    </row>
    <row r="140" spans="1:28">
      <c r="A140" s="8">
        <v>1</v>
      </c>
      <c r="B140" t="s">
        <v>18</v>
      </c>
      <c r="C140" t="s">
        <v>397</v>
      </c>
      <c r="D140" s="3"/>
      <c r="E140" s="3"/>
      <c r="F140" s="3"/>
      <c r="G140" s="3"/>
      <c r="H140" s="3"/>
      <c r="I140" s="3"/>
      <c r="J140" s="3"/>
      <c r="M140" s="8"/>
      <c r="N140" s="14"/>
      <c r="O140" s="33"/>
    </row>
    <row r="141" spans="1:28">
      <c r="A141" s="8">
        <v>2</v>
      </c>
      <c r="B141" t="s">
        <v>30</v>
      </c>
      <c r="C141" t="s">
        <v>398</v>
      </c>
      <c r="D141" s="3"/>
      <c r="E141" s="3"/>
      <c r="F141" s="3"/>
      <c r="G141" s="3"/>
      <c r="H141" s="3"/>
      <c r="I141" s="3"/>
      <c r="J141" s="3"/>
      <c r="M141" s="8"/>
      <c r="N141" s="14"/>
      <c r="O141" s="33"/>
    </row>
    <row r="142" spans="1:28">
      <c r="A142" s="8">
        <v>3</v>
      </c>
      <c r="B142" t="s">
        <v>73</v>
      </c>
      <c r="C142" t="s">
        <v>399</v>
      </c>
      <c r="D142" s="3"/>
      <c r="E142" s="3"/>
      <c r="F142" s="3"/>
      <c r="G142" s="3"/>
      <c r="H142" s="3"/>
      <c r="I142" s="3"/>
      <c r="J142" s="3"/>
      <c r="M142" s="8"/>
      <c r="N142" s="14"/>
      <c r="O142" s="33"/>
    </row>
    <row r="143" spans="1:28">
      <c r="A143" s="8">
        <v>4</v>
      </c>
      <c r="B143" t="s">
        <v>119</v>
      </c>
      <c r="C143" t="s">
        <v>400</v>
      </c>
      <c r="D143" s="3"/>
      <c r="E143" s="3"/>
      <c r="F143" s="3"/>
      <c r="G143" s="3"/>
      <c r="H143" s="3"/>
      <c r="I143" s="3"/>
      <c r="J143" s="3"/>
      <c r="M143" s="8"/>
      <c r="N143" s="14"/>
      <c r="O143" s="33"/>
    </row>
    <row r="144" spans="1:28">
      <c r="A144" s="8">
        <v>5</v>
      </c>
      <c r="B144" t="s">
        <v>52</v>
      </c>
      <c r="C144" t="s">
        <v>401</v>
      </c>
      <c r="D144" s="3"/>
      <c r="E144" s="3"/>
      <c r="F144" s="3"/>
      <c r="G144" s="3"/>
      <c r="H144" s="3"/>
      <c r="I144" s="3"/>
      <c r="J144" s="3"/>
      <c r="M144" s="8"/>
      <c r="N144" s="14"/>
      <c r="O144" s="33"/>
    </row>
    <row r="145" spans="1:28">
      <c r="A145" s="8">
        <v>6</v>
      </c>
      <c r="B145" t="s">
        <v>55</v>
      </c>
      <c r="C145" t="s">
        <v>402</v>
      </c>
      <c r="D145" s="3"/>
      <c r="E145" s="3"/>
      <c r="F145" s="3"/>
      <c r="G145" s="3"/>
      <c r="H145" s="3"/>
      <c r="I145" s="3"/>
      <c r="J145" s="3"/>
      <c r="M145" s="8"/>
      <c r="N145" s="14"/>
      <c r="O145" s="33"/>
    </row>
    <row r="146" spans="1:28">
      <c r="A146" s="8">
        <v>7</v>
      </c>
      <c r="B146" t="s">
        <v>27</v>
      </c>
      <c r="C146" t="s">
        <v>403</v>
      </c>
      <c r="D146" s="3"/>
      <c r="E146" s="3"/>
      <c r="F146" s="3"/>
      <c r="G146" s="3"/>
      <c r="H146" s="3"/>
      <c r="I146" s="3"/>
      <c r="J146" s="3"/>
      <c r="M146" s="8"/>
      <c r="N146" s="14"/>
      <c r="O146" s="33"/>
    </row>
    <row r="147" spans="1:28">
      <c r="A147" s="8">
        <v>8</v>
      </c>
      <c r="B147" t="s">
        <v>116</v>
      </c>
      <c r="C147" t="s">
        <v>404</v>
      </c>
      <c r="D147" s="3"/>
      <c r="E147" s="3"/>
      <c r="F147" s="3"/>
      <c r="G147" s="3"/>
      <c r="H147" s="3"/>
      <c r="I147" s="3"/>
      <c r="J147" s="3"/>
      <c r="M147" s="8"/>
      <c r="N147" s="14"/>
      <c r="O147" s="33"/>
    </row>
    <row r="148" spans="1:28">
      <c r="A148" s="8">
        <v>9</v>
      </c>
      <c r="B148" t="s">
        <v>118</v>
      </c>
      <c r="C148" t="s">
        <v>405</v>
      </c>
      <c r="D148" s="3"/>
      <c r="E148" s="3"/>
      <c r="F148" s="3"/>
      <c r="G148" s="3"/>
      <c r="H148" s="3"/>
      <c r="I148" s="3"/>
      <c r="J148" s="3"/>
      <c r="M148" s="8"/>
      <c r="N148" s="14"/>
      <c r="O148" s="33"/>
    </row>
    <row r="149" spans="1:28">
      <c r="A149" s="8">
        <v>10</v>
      </c>
      <c r="B149" t="s">
        <v>91</v>
      </c>
      <c r="C149" t="s">
        <v>406</v>
      </c>
      <c r="D149" s="3"/>
      <c r="E149" s="3"/>
      <c r="F149" s="3"/>
      <c r="G149" s="3"/>
      <c r="H149" s="3"/>
      <c r="I149" s="3"/>
      <c r="J149" s="3"/>
      <c r="M149" s="8"/>
      <c r="N149" s="14"/>
      <c r="O149" s="33"/>
    </row>
    <row r="150" spans="1:28">
      <c r="A150" s="8"/>
      <c r="B150" s="3"/>
      <c r="C150" s="3"/>
      <c r="D150" s="3"/>
      <c r="E150" s="3"/>
      <c r="F150" s="3"/>
      <c r="G150" s="3"/>
      <c r="H150" s="3"/>
      <c r="I150" s="3"/>
      <c r="J150" s="3"/>
      <c r="M150" s="8"/>
      <c r="N150" s="14"/>
      <c r="O150" s="33"/>
    </row>
    <row r="151" spans="1:28">
      <c r="A151" s="8" t="s">
        <v>407</v>
      </c>
      <c r="D151" s="3"/>
      <c r="E151" s="3" t="s">
        <v>408</v>
      </c>
      <c r="F151" s="3"/>
      <c r="G151" s="3"/>
      <c r="H151" s="3"/>
      <c r="I151" s="3"/>
      <c r="J151" s="3"/>
      <c r="M151" s="8"/>
      <c r="N151" s="14"/>
      <c r="O151" s="33"/>
    </row>
    <row r="152" spans="1:28">
      <c r="A152" s="8" t="s">
        <v>300</v>
      </c>
      <c r="B152" t="s">
        <v>301</v>
      </c>
      <c r="C152" t="s">
        <v>409</v>
      </c>
      <c r="D152" s="3"/>
      <c r="E152" s="3" t="s">
        <v>300</v>
      </c>
      <c r="F152" s="3" t="s">
        <v>301</v>
      </c>
      <c r="G152" s="3" t="s">
        <v>410</v>
      </c>
      <c r="H152" s="3"/>
      <c r="I152" s="3"/>
      <c r="J152" s="3"/>
      <c r="M152" s="8"/>
      <c r="N152" s="14"/>
      <c r="O152" s="33"/>
    </row>
    <row r="153" spans="1:28">
      <c r="A153" s="8">
        <v>1</v>
      </c>
      <c r="B153" t="s">
        <v>304</v>
      </c>
      <c r="C153" s="2">
        <v>9242887</v>
      </c>
      <c r="D153" s="3"/>
      <c r="E153" s="3">
        <v>1</v>
      </c>
      <c r="F153" s="3" t="s">
        <v>313</v>
      </c>
      <c r="G153" s="3" t="s">
        <v>411</v>
      </c>
      <c r="H153" s="3"/>
      <c r="I153" s="3"/>
      <c r="J153" s="3"/>
      <c r="M153" s="8"/>
      <c r="N153" s="14"/>
      <c r="O153" s="33"/>
    </row>
    <row r="154" spans="1:28">
      <c r="A154" s="8">
        <v>2</v>
      </c>
      <c r="B154" t="s">
        <v>310</v>
      </c>
      <c r="C154" s="2">
        <v>8472787</v>
      </c>
      <c r="D154" s="3"/>
      <c r="E154" s="3">
        <v>2</v>
      </c>
      <c r="F154" s="3" t="s">
        <v>304</v>
      </c>
      <c r="G154" s="3" t="s">
        <v>412</v>
      </c>
      <c r="H154" s="3"/>
      <c r="I154" s="3"/>
      <c r="J154" s="3"/>
      <c r="M154" s="8"/>
      <c r="N154" s="14"/>
      <c r="O154" s="33"/>
    </row>
    <row r="155" spans="1:28">
      <c r="A155" s="8">
        <v>3</v>
      </c>
      <c r="B155" t="s">
        <v>315</v>
      </c>
      <c r="C155" s="2">
        <v>6520493</v>
      </c>
      <c r="D155" s="3"/>
      <c r="E155" s="3">
        <v>3</v>
      </c>
      <c r="F155" s="3" t="s">
        <v>310</v>
      </c>
      <c r="G155" s="3" t="s">
        <v>413</v>
      </c>
      <c r="H155" s="3"/>
      <c r="I155" s="3"/>
      <c r="J155" s="3"/>
      <c r="M155" s="8"/>
      <c r="N155" s="14"/>
      <c r="O155" s="33"/>
    </row>
    <row r="156" spans="1:28">
      <c r="A156" s="8">
        <v>4</v>
      </c>
      <c r="B156" t="s">
        <v>306</v>
      </c>
      <c r="C156" s="2">
        <v>6211788</v>
      </c>
      <c r="D156" s="3"/>
      <c r="E156" s="3">
        <v>4</v>
      </c>
      <c r="F156" s="3" t="s">
        <v>315</v>
      </c>
      <c r="G156" s="3" t="s">
        <v>414</v>
      </c>
      <c r="H156" s="3"/>
      <c r="I156" s="3"/>
      <c r="J156" s="3"/>
      <c r="M156" s="8"/>
      <c r="N156" s="14"/>
      <c r="O156" s="33"/>
    </row>
    <row r="157" spans="1:28">
      <c r="A157" s="8">
        <v>5</v>
      </c>
      <c r="B157" t="s">
        <v>308</v>
      </c>
      <c r="C157" s="2">
        <v>4327514</v>
      </c>
      <c r="D157" s="3"/>
      <c r="E157" s="3">
        <v>5</v>
      </c>
      <c r="F157" s="3" t="s">
        <v>306</v>
      </c>
      <c r="G157" s="3" t="s">
        <v>415</v>
      </c>
      <c r="H157" s="3"/>
      <c r="I157" s="3"/>
      <c r="J157" s="3"/>
      <c r="M157" s="8"/>
      <c r="N157" s="14"/>
      <c r="O157" s="33"/>
    </row>
    <row r="158" spans="1:28">
      <c r="A158" s="8">
        <v>6</v>
      </c>
      <c r="B158" t="s">
        <v>312</v>
      </c>
      <c r="C158" s="2">
        <v>3265930</v>
      </c>
      <c r="D158" s="3"/>
      <c r="E158" s="3">
        <v>6</v>
      </c>
      <c r="F158" s="3" t="s">
        <v>319</v>
      </c>
      <c r="G158" s="3" t="s">
        <v>416</v>
      </c>
      <c r="H158" s="3"/>
      <c r="I158" s="3"/>
      <c r="J158" s="3"/>
      <c r="M158" s="8"/>
      <c r="N158" s="14"/>
      <c r="O158" s="33"/>
    </row>
    <row r="159" spans="1:28">
      <c r="A159" s="8">
        <v>7</v>
      </c>
      <c r="B159" t="s">
        <v>317</v>
      </c>
      <c r="C159" s="2">
        <v>2953577</v>
      </c>
      <c r="D159" s="3"/>
      <c r="E159" s="3">
        <v>7</v>
      </c>
      <c r="F159" s="3" t="s">
        <v>308</v>
      </c>
      <c r="G159" s="3" t="s">
        <v>417</v>
      </c>
      <c r="H159" s="3"/>
      <c r="I159" s="3"/>
      <c r="J159" s="3"/>
      <c r="M159" s="8"/>
      <c r="N159" s="14"/>
      <c r="O159" s="33"/>
    </row>
    <row r="160" spans="1:28">
      <c r="A160" s="8">
        <v>8</v>
      </c>
      <c r="B160" t="s">
        <v>321</v>
      </c>
      <c r="C160" s="2">
        <v>2162635</v>
      </c>
      <c r="D160" s="3"/>
      <c r="E160" s="3">
        <v>8</v>
      </c>
      <c r="F160" s="3" t="s">
        <v>312</v>
      </c>
      <c r="G160" s="3" t="s">
        <v>418</v>
      </c>
      <c r="H160" s="3"/>
      <c r="I160" s="3"/>
      <c r="J160" s="3"/>
      <c r="M160" s="8"/>
      <c r="N160" s="14"/>
      <c r="O160" s="33"/>
    </row>
    <row r="161" spans="1:28">
      <c r="A161" s="8">
        <v>9</v>
      </c>
      <c r="B161" t="s">
        <v>319</v>
      </c>
      <c r="C161" s="2">
        <v>2087976</v>
      </c>
      <c r="D161" s="3"/>
      <c r="E161" s="3">
        <v>9</v>
      </c>
      <c r="F161" s="3" t="s">
        <v>317</v>
      </c>
      <c r="G161" s="3" t="s">
        <v>419</v>
      </c>
      <c r="H161" s="3"/>
      <c r="I161" s="3"/>
      <c r="J161" s="3"/>
      <c r="M161" s="8"/>
      <c r="N161" s="14"/>
      <c r="O161" s="33"/>
    </row>
    <row r="162" spans="1:28">
      <c r="A162" s="8">
        <v>10</v>
      </c>
      <c r="B162" t="s">
        <v>323</v>
      </c>
      <c r="C162" s="2">
        <v>1907713</v>
      </c>
      <c r="D162" s="3"/>
      <c r="E162" s="3">
        <v>10</v>
      </c>
      <c r="F162" s="3" t="s">
        <v>321</v>
      </c>
      <c r="G162" s="3" t="s">
        <v>420</v>
      </c>
      <c r="H162" s="3"/>
      <c r="I162" s="3"/>
      <c r="J162" s="3"/>
      <c r="M162" s="8"/>
      <c r="N162" s="14"/>
      <c r="O162" s="33"/>
    </row>
    <row r="163" spans="1:28">
      <c r="A163" s="8"/>
      <c r="B163" s="3"/>
      <c r="C163" s="3"/>
      <c r="D163" s="3"/>
      <c r="E163" s="3"/>
      <c r="F163" s="3"/>
      <c r="G163" s="3"/>
      <c r="H163" s="3"/>
      <c r="I163" s="3"/>
      <c r="J163" s="3"/>
      <c r="M163" s="8"/>
      <c r="N163" s="14"/>
      <c r="O163" s="33"/>
    </row>
    <row r="164" spans="1:28">
      <c r="A164" s="8" t="s">
        <v>421</v>
      </c>
      <c r="C164" s="2"/>
      <c r="D164" s="3"/>
      <c r="E164" s="3" t="s">
        <v>422</v>
      </c>
      <c r="F164" s="3"/>
      <c r="G164" s="3"/>
      <c r="H164" s="3"/>
      <c r="I164" s="3"/>
      <c r="J164" s="3"/>
      <c r="M164" s="8"/>
      <c r="N164" s="14"/>
      <c r="O164" s="33"/>
    </row>
    <row r="165" spans="1:28">
      <c r="A165" s="8" t="s">
        <v>300</v>
      </c>
      <c r="B165" t="s">
        <v>301</v>
      </c>
      <c r="C165" s="2" t="s">
        <v>409</v>
      </c>
      <c r="D165" s="3"/>
      <c r="E165" s="3"/>
      <c r="F165" s="1" t="s">
        <v>255</v>
      </c>
      <c r="G165" s="2">
        <v>20542695</v>
      </c>
      <c r="H165" s="3"/>
      <c r="I165" s="3"/>
      <c r="J165" s="3"/>
      <c r="M165" s="8"/>
      <c r="N165" s="14"/>
      <c r="O165" s="33"/>
    </row>
    <row r="166" spans="1:28">
      <c r="A166" s="8">
        <v>1</v>
      </c>
      <c r="B166" t="s">
        <v>328</v>
      </c>
      <c r="C166" s="2">
        <v>20476373</v>
      </c>
      <c r="D166" s="3"/>
      <c r="E166" s="3"/>
      <c r="F166" s="1" t="s">
        <v>289</v>
      </c>
      <c r="G166" s="2">
        <v>16244253</v>
      </c>
      <c r="H166" s="3"/>
      <c r="I166" s="3"/>
      <c r="J166" s="3"/>
      <c r="M166" s="8"/>
      <c r="N166" s="14"/>
      <c r="O166" s="33"/>
    </row>
    <row r="167" spans="1:28">
      <c r="A167" s="8">
        <v>2</v>
      </c>
      <c r="B167" t="s">
        <v>327</v>
      </c>
      <c r="C167" s="2">
        <v>16327705</v>
      </c>
      <c r="D167" s="3"/>
      <c r="E167" s="3"/>
      <c r="F167" s="1" t="s">
        <v>280</v>
      </c>
      <c r="G167" s="2">
        <v>11633501</v>
      </c>
      <c r="H167" s="3"/>
      <c r="I167" s="3"/>
      <c r="J167" s="3"/>
      <c r="M167" s="8"/>
      <c r="N167" s="14"/>
      <c r="O167" s="33"/>
    </row>
    <row r="168" spans="1:28">
      <c r="A168" s="8">
        <v>3</v>
      </c>
      <c r="B168" t="s">
        <v>335</v>
      </c>
      <c r="C168" s="2">
        <v>9837679</v>
      </c>
      <c r="D168" s="3"/>
      <c r="E168" s="3"/>
      <c r="F168" s="1" t="s">
        <v>295</v>
      </c>
      <c r="G168" s="2">
        <v>9547104</v>
      </c>
      <c r="H168" s="3"/>
      <c r="I168" s="3"/>
      <c r="J168" s="3"/>
      <c r="M168" s="8"/>
      <c r="N168" s="14"/>
      <c r="O168" s="33"/>
    </row>
    <row r="169" spans="1:28">
      <c r="A169" s="8">
        <v>4</v>
      </c>
      <c r="B169" t="s">
        <v>331</v>
      </c>
      <c r="C169" s="2">
        <v>8577348</v>
      </c>
      <c r="D169" s="3"/>
      <c r="E169" s="3"/>
      <c r="F169" s="1" t="s">
        <v>281</v>
      </c>
      <c r="G169" s="2">
        <v>8980958</v>
      </c>
      <c r="H169" s="3"/>
      <c r="I169" s="3"/>
      <c r="J169" s="3"/>
      <c r="M169" s="8"/>
      <c r="N169" s="14"/>
      <c r="O169" s="33"/>
    </row>
    <row r="170" spans="1:28">
      <c r="A170" s="8">
        <v>5</v>
      </c>
      <c r="B170" t="s">
        <v>423</v>
      </c>
      <c r="C170" s="2">
        <v>7752564</v>
      </c>
      <c r="D170" s="3"/>
      <c r="E170" s="3"/>
      <c r="F170" s="1" t="s">
        <v>291</v>
      </c>
      <c r="G170" s="2">
        <v>7764902</v>
      </c>
      <c r="H170" s="3"/>
      <c r="I170" s="3"/>
      <c r="J170" s="3"/>
      <c r="M170" s="8"/>
      <c r="N170" s="14"/>
      <c r="O170" s="33"/>
    </row>
    <row r="171" spans="1:28">
      <c r="A171" s="8">
        <v>6</v>
      </c>
      <c r="B171" t="s">
        <v>329</v>
      </c>
      <c r="C171" s="2">
        <v>7740307</v>
      </c>
      <c r="D171" s="3"/>
      <c r="E171" s="3"/>
      <c r="F171" s="1" t="s">
        <v>290</v>
      </c>
      <c r="G171" s="2">
        <v>7737193</v>
      </c>
      <c r="H171" s="3"/>
      <c r="I171" s="3"/>
      <c r="J171" s="3"/>
      <c r="M171" s="8"/>
      <c r="N171" s="14"/>
      <c r="O171" s="33"/>
    </row>
    <row r="172" spans="1:28">
      <c r="A172" s="8">
        <v>7</v>
      </c>
      <c r="B172" t="s">
        <v>424</v>
      </c>
      <c r="C172" s="2">
        <v>7730455</v>
      </c>
      <c r="D172" s="3"/>
      <c r="E172" s="3"/>
      <c r="F172" s="1" t="s">
        <v>292</v>
      </c>
      <c r="G172" s="2">
        <v>7734754</v>
      </c>
      <c r="H172" s="3"/>
      <c r="I172" s="3"/>
      <c r="J172" s="3"/>
      <c r="M172" s="8"/>
      <c r="N172" s="14"/>
      <c r="O172" s="33"/>
    </row>
    <row r="173" spans="1:28">
      <c r="A173" s="8">
        <v>8</v>
      </c>
      <c r="B173" t="s">
        <v>332</v>
      </c>
      <c r="C173" s="2">
        <v>6908443</v>
      </c>
      <c r="D173" s="3"/>
      <c r="E173" s="3"/>
      <c r="F173" s="1" t="s">
        <v>282</v>
      </c>
      <c r="G173" s="2">
        <v>7012069</v>
      </c>
      <c r="H173" s="3"/>
      <c r="I173" s="3"/>
      <c r="J173" s="3"/>
      <c r="M173" s="8"/>
      <c r="N173" s="14"/>
      <c r="O173" s="33"/>
    </row>
    <row r="174" spans="1:28">
      <c r="A174" s="8">
        <v>9</v>
      </c>
      <c r="B174" t="s">
        <v>334</v>
      </c>
      <c r="C174" s="2">
        <v>6878696</v>
      </c>
      <c r="D174" s="3"/>
      <c r="E174" s="3"/>
      <c r="F174" s="1" t="s">
        <v>294</v>
      </c>
      <c r="G174" s="2">
        <v>6842973</v>
      </c>
      <c r="H174" s="3"/>
      <c r="I174" s="3"/>
      <c r="J174" s="3"/>
      <c r="M174" s="8"/>
      <c r="N174" s="14"/>
      <c r="O174" s="33"/>
    </row>
    <row r="175" spans="1:28">
      <c r="A175" s="8">
        <v>10</v>
      </c>
      <c r="B175" t="s">
        <v>333</v>
      </c>
      <c r="C175" s="2">
        <v>5868578</v>
      </c>
      <c r="D175" s="3"/>
      <c r="E175" s="3"/>
      <c r="F175" s="3"/>
      <c r="G175" s="3"/>
      <c r="H175" s="3"/>
      <c r="I175" s="3"/>
      <c r="J175" s="3"/>
      <c r="M175" s="8"/>
      <c r="N175" s="14"/>
      <c r="O175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64"/>
  <sheetViews>
    <sheetView workbookViewId="0"/>
  </sheetViews>
  <sheetFormatPr defaultRowHeight="15"/>
  <cols>
    <col min="1" max="1" width="49.7109375" customWidth="1"/>
    <col min="2" max="2" width="14.42578125" customWidth="1"/>
    <col min="15" max="15" width="48.5703125" customWidth="1"/>
    <col min="17" max="17" width="21" customWidth="1"/>
  </cols>
  <sheetData>
    <row r="1" spans="1:27" ht="29.333333333333332" customHeight="1">
      <c r="A1" s="1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>
        <v>2026</v>
      </c>
      <c r="O1" s="32" t="s">
        <v>0</v>
      </c>
      <c r="P1" s="7" t="s">
        <v>425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4" t="s">
        <v>12</v>
      </c>
    </row>
    <row r="2" spans="1:27">
      <c r="A2" s="8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0"/>
      <c r="O2" s="33" t="s">
        <v>13</v>
      </c>
    </row>
    <row r="3" spans="1:27">
      <c r="A3" s="1" t="s">
        <v>14</v>
      </c>
      <c r="B3" s="7"/>
      <c r="C3" s="3"/>
      <c r="D3" s="3"/>
      <c r="E3" s="3"/>
      <c r="F3" s="3"/>
      <c r="G3" s="3"/>
      <c r="H3" s="3"/>
      <c r="I3" s="3"/>
      <c r="J3" s="3"/>
      <c r="K3" s="7">
        <v>4435641</v>
      </c>
      <c r="L3" s="7">
        <v>484062</v>
      </c>
      <c r="M3" s="12">
        <v>5312217</v>
      </c>
      <c r="N3" s="10"/>
      <c r="O3" s="32" t="s">
        <v>14</v>
      </c>
      <c r="P3" s="2">
        <v>353825</v>
      </c>
      <c r="Q3" s="2">
        <v>353825</v>
      </c>
    </row>
    <row r="4" spans="1:27">
      <c r="A4" s="1" t="s">
        <v>16</v>
      </c>
      <c r="B4" s="7">
        <v>27336</v>
      </c>
      <c r="C4" s="7">
        <v>42477</v>
      </c>
      <c r="D4" s="7">
        <v>63104</v>
      </c>
      <c r="E4" s="7">
        <v>107207</v>
      </c>
      <c r="F4" s="7">
        <v>137117</v>
      </c>
      <c r="G4" s="7">
        <v>180036</v>
      </c>
      <c r="H4" s="7">
        <v>207165</v>
      </c>
      <c r="I4" s="7">
        <v>243398</v>
      </c>
      <c r="J4" s="7">
        <v>323314</v>
      </c>
      <c r="K4" s="7">
        <v>386832</v>
      </c>
      <c r="L4" s="7">
        <v>404921</v>
      </c>
      <c r="M4" s="12">
        <v>432815</v>
      </c>
      <c r="N4" s="10"/>
      <c r="O4" s="32" t="s">
        <v>16</v>
      </c>
      <c r="P4" s="2">
        <v>29122.11</v>
      </c>
      <c r="Q4" s="2">
        <v>45004.66</v>
      </c>
    </row>
    <row r="5" spans="1:27">
      <c r="A5" s="1" t="s">
        <v>17</v>
      </c>
      <c r="B5" s="7">
        <v>16557</v>
      </c>
      <c r="C5" s="7">
        <v>28571</v>
      </c>
      <c r="D5" s="7">
        <v>54329</v>
      </c>
      <c r="E5" s="7">
        <v>63039</v>
      </c>
      <c r="F5" s="7">
        <v>76439</v>
      </c>
      <c r="G5" s="7">
        <v>97022</v>
      </c>
      <c r="H5" s="7">
        <v>112320</v>
      </c>
      <c r="I5" s="7">
        <v>139833</v>
      </c>
      <c r="J5" s="7">
        <v>169626</v>
      </c>
      <c r="K5" s="7">
        <v>185375</v>
      </c>
      <c r="L5" s="7">
        <v>201711</v>
      </c>
      <c r="M5" s="12">
        <v>222724</v>
      </c>
      <c r="N5" s="10"/>
      <c r="O5" s="32" t="s">
        <v>17</v>
      </c>
      <c r="P5" s="2">
        <v>19329</v>
      </c>
      <c r="Q5" s="2">
        <v>40960</v>
      </c>
    </row>
    <row r="6" spans="1:27">
      <c r="A6" s="1" t="s">
        <v>18</v>
      </c>
      <c r="B6" s="7">
        <v>1525475</v>
      </c>
      <c r="C6" s="3">
        <v>2125613</v>
      </c>
      <c r="D6" s="3">
        <v>2657859</v>
      </c>
      <c r="E6" s="3">
        <v>3220491</v>
      </c>
      <c r="F6" s="3">
        <v>3692239</v>
      </c>
      <c r="G6" s="3">
        <v>4202227</v>
      </c>
      <c r="H6" s="3">
        <v>4808044</v>
      </c>
      <c r="I6" s="3">
        <v>5383081</v>
      </c>
      <c r="J6" s="3">
        <v>5932416</v>
      </c>
      <c r="K6" s="3">
        <v>6580190</v>
      </c>
      <c r="L6" s="3">
        <v>7104520</v>
      </c>
      <c r="M6" s="12">
        <v>7693605</v>
      </c>
      <c r="N6" s="14"/>
      <c r="O6" s="32" t="s">
        <v>18</v>
      </c>
      <c r="P6" s="2">
        <v>1710575</v>
      </c>
      <c r="Q6" s="13">
        <v>2358190</v>
      </c>
    </row>
    <row r="7" spans="1:27">
      <c r="A7" s="1" t="s">
        <v>19</v>
      </c>
      <c r="B7" s="7">
        <v>31798</v>
      </c>
      <c r="C7" s="3">
        <v>51317</v>
      </c>
      <c r="D7" s="3">
        <v>86735</v>
      </c>
      <c r="E7" s="7">
        <v>115914</v>
      </c>
      <c r="F7" s="3">
        <v>137619</v>
      </c>
      <c r="G7" s="7">
        <v>180551</v>
      </c>
      <c r="H7" s="7">
        <v>215757</v>
      </c>
      <c r="I7" s="3">
        <v>256.866</v>
      </c>
      <c r="J7" s="7">
        <v>321326</v>
      </c>
      <c r="K7" s="7">
        <v>323788</v>
      </c>
      <c r="L7" s="3">
        <v>354776</v>
      </c>
      <c r="M7" s="12">
        <v>424154</v>
      </c>
      <c r="N7" s="14"/>
      <c r="O7" s="32" t="s">
        <v>19</v>
      </c>
      <c r="P7" s="2">
        <v>38881.25</v>
      </c>
      <c r="Q7" s="2">
        <v>72609.81</v>
      </c>
    </row>
    <row r="8" spans="1:27">
      <c r="A8" s="15" t="s">
        <v>20</v>
      </c>
      <c r="B8" s="37"/>
      <c r="C8" s="18"/>
      <c r="D8" s="18"/>
      <c r="E8" s="18"/>
      <c r="F8" s="18"/>
      <c r="G8" s="18"/>
      <c r="H8" s="18"/>
      <c r="I8" s="18"/>
      <c r="J8" s="18"/>
      <c r="K8" s="18"/>
      <c r="L8" s="18"/>
      <c r="M8" s="19"/>
      <c r="N8" s="14"/>
      <c r="O8" s="35" t="s">
        <v>20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>
      <c r="A9" s="1" t="s">
        <v>22</v>
      </c>
      <c r="B9" s="7">
        <v>6839.96</v>
      </c>
      <c r="C9" s="7">
        <v>11329.13</v>
      </c>
      <c r="D9" s="7">
        <v>22032.81</v>
      </c>
      <c r="E9" s="7">
        <v>25619.33</v>
      </c>
      <c r="F9" s="7">
        <v>30085.49</v>
      </c>
      <c r="G9" s="7">
        <v>40054.16</v>
      </c>
      <c r="H9" s="7">
        <v>51045.32</v>
      </c>
      <c r="I9" s="7">
        <v>55269.71</v>
      </c>
      <c r="J9" s="7">
        <v>77677.88</v>
      </c>
      <c r="K9" s="7">
        <v>82149.33</v>
      </c>
      <c r="L9" s="7">
        <v>85882.22</v>
      </c>
      <c r="M9" s="12">
        <v>93693.54</v>
      </c>
      <c r="N9" s="14"/>
      <c r="O9" s="32" t="s">
        <v>22</v>
      </c>
      <c r="P9" s="2">
        <v>1491.92</v>
      </c>
      <c r="Q9" s="2">
        <v>5835.24</v>
      </c>
    </row>
    <row r="10" spans="1:27">
      <c r="A10" s="1" t="s">
        <v>23</v>
      </c>
      <c r="B10" s="7">
        <v>17507.4</v>
      </c>
      <c r="C10" s="7">
        <v>34321.02</v>
      </c>
      <c r="D10" s="7">
        <v>51824.86</v>
      </c>
      <c r="E10" s="7">
        <v>72362.25</v>
      </c>
      <c r="F10" s="7">
        <v>90672.46</v>
      </c>
      <c r="G10" s="7">
        <v>125435.51</v>
      </c>
      <c r="H10" s="7">
        <v>120274.29</v>
      </c>
      <c r="I10" s="7">
        <v>135741.27</v>
      </c>
      <c r="J10" s="7">
        <v>154695.51</v>
      </c>
      <c r="K10" s="7">
        <v>174785.02</v>
      </c>
      <c r="L10" s="7">
        <v>191662.76</v>
      </c>
      <c r="M10" s="12">
        <v>214517.27</v>
      </c>
      <c r="N10" s="14"/>
      <c r="O10" s="32" t="s">
        <v>23</v>
      </c>
      <c r="P10" s="2">
        <v>18842.05</v>
      </c>
      <c r="Q10" s="2">
        <v>33609.38</v>
      </c>
    </row>
    <row r="11" spans="1:27">
      <c r="A11" s="1" t="s">
        <v>24</v>
      </c>
      <c r="B11" s="7">
        <v>44977</v>
      </c>
      <c r="C11" s="7">
        <v>61447</v>
      </c>
      <c r="D11" s="3">
        <v>0</v>
      </c>
      <c r="E11" s="7">
        <v>89723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4">
        <v>0</v>
      </c>
      <c r="N11" s="14"/>
      <c r="O11" s="32" t="s">
        <v>24</v>
      </c>
      <c r="P11">
        <v>0</v>
      </c>
    </row>
    <row r="12" spans="1:27">
      <c r="A12" s="1" t="s">
        <v>25</v>
      </c>
      <c r="B12" s="7">
        <v>12529.35</v>
      </c>
      <c r="C12" s="7">
        <v>24635.25</v>
      </c>
      <c r="D12" s="7">
        <v>36889.36</v>
      </c>
      <c r="E12" s="7">
        <v>51226.4</v>
      </c>
      <c r="F12" s="7">
        <v>66482.78</v>
      </c>
      <c r="G12" s="7">
        <v>83423.57</v>
      </c>
      <c r="H12" s="7">
        <v>101096.94</v>
      </c>
      <c r="I12" s="7">
        <v>122982.12</v>
      </c>
      <c r="J12" s="7">
        <v>144942.91</v>
      </c>
      <c r="K12" s="7">
        <v>168621.92</v>
      </c>
      <c r="L12" s="7">
        <v>185968.56</v>
      </c>
      <c r="M12" s="12">
        <v>209937.26</v>
      </c>
      <c r="N12" s="14"/>
      <c r="O12" s="32" t="s">
        <v>25</v>
      </c>
    </row>
    <row r="13" spans="1:27">
      <c r="A13" s="1" t="s">
        <v>27</v>
      </c>
      <c r="B13" s="7">
        <v>404011</v>
      </c>
      <c r="C13" s="7">
        <v>694244</v>
      </c>
      <c r="D13" s="7">
        <v>1043185</v>
      </c>
      <c r="E13" s="7">
        <v>1379770</v>
      </c>
      <c r="F13" s="7">
        <v>1654669</v>
      </c>
      <c r="G13" s="7">
        <v>2029066</v>
      </c>
      <c r="H13" s="7">
        <v>2319924</v>
      </c>
      <c r="I13" s="7">
        <v>2523537</v>
      </c>
      <c r="J13" s="7">
        <v>2803279</v>
      </c>
      <c r="K13" s="7">
        <v>3063394</v>
      </c>
      <c r="L13" s="7">
        <v>3264655</v>
      </c>
      <c r="M13" s="12">
        <v>3682591</v>
      </c>
      <c r="N13" s="14"/>
      <c r="O13" s="32" t="s">
        <v>27</v>
      </c>
      <c r="P13" s="2">
        <v>243722</v>
      </c>
      <c r="Q13" s="13">
        <v>728785</v>
      </c>
    </row>
    <row r="14" spans="1:27">
      <c r="A14" s="1" t="s">
        <v>28</v>
      </c>
      <c r="B14" s="7">
        <v>22.115</v>
      </c>
      <c r="C14" s="3">
        <v>40.912</v>
      </c>
      <c r="D14" s="3">
        <v>63.129</v>
      </c>
      <c r="E14" s="3">
        <v>82.425</v>
      </c>
      <c r="F14" s="3">
        <v>102.94</v>
      </c>
      <c r="G14" s="3">
        <v>124.393</v>
      </c>
      <c r="H14" s="3">
        <v>148.914</v>
      </c>
      <c r="I14" s="3">
        <v>172.643</v>
      </c>
      <c r="J14" s="3">
        <v>200.287</v>
      </c>
      <c r="K14" s="3">
        <v>224.671</v>
      </c>
      <c r="L14" s="3">
        <v>248.962</v>
      </c>
      <c r="M14" s="12">
        <v>290851</v>
      </c>
      <c r="N14" s="14"/>
      <c r="O14" s="32" t="s">
        <v>28</v>
      </c>
      <c r="P14">
        <v>22.401</v>
      </c>
      <c r="Q14">
        <v>41.123</v>
      </c>
    </row>
    <row r="15" spans="1:27">
      <c r="A15" s="1" t="s">
        <v>29</v>
      </c>
      <c r="B15" s="7">
        <v>53854</v>
      </c>
      <c r="C15" s="7">
        <v>95270</v>
      </c>
      <c r="D15" s="7">
        <v>129821</v>
      </c>
      <c r="E15" s="7">
        <v>161334</v>
      </c>
      <c r="F15" s="7">
        <v>215103</v>
      </c>
      <c r="G15" s="3">
        <v>257.008</v>
      </c>
      <c r="H15" s="7">
        <v>294072</v>
      </c>
      <c r="I15" s="7">
        <v>327597</v>
      </c>
      <c r="J15" s="7">
        <v>361652</v>
      </c>
      <c r="K15" s="3">
        <v>394.853</v>
      </c>
      <c r="L15" s="7">
        <v>426358</v>
      </c>
      <c r="M15" s="12">
        <v>450507</v>
      </c>
      <c r="N15" s="14"/>
      <c r="O15" s="32" t="s">
        <v>29</v>
      </c>
      <c r="P15">
        <v>47.286</v>
      </c>
      <c r="Q15">
        <v>88.027</v>
      </c>
    </row>
    <row r="16" spans="1:27">
      <c r="A16" s="1" t="s">
        <v>30</v>
      </c>
      <c r="B16" s="7">
        <v>349577.23</v>
      </c>
      <c r="C16" s="7">
        <v>613986.93</v>
      </c>
      <c r="D16" s="7">
        <v>1196852.52</v>
      </c>
      <c r="E16" s="7">
        <v>1595850.86</v>
      </c>
      <c r="F16" s="7">
        <v>1983152.58</v>
      </c>
      <c r="G16" s="7">
        <v>2328823.21</v>
      </c>
      <c r="H16" s="7">
        <v>2659577.78</v>
      </c>
      <c r="I16" s="7">
        <v>3021533.94</v>
      </c>
      <c r="J16" s="7">
        <v>3386360.08</v>
      </c>
      <c r="K16" s="7">
        <v>3719757.83</v>
      </c>
      <c r="L16" s="7">
        <v>4224304.73</v>
      </c>
      <c r="M16" s="12">
        <v>5134533.1</v>
      </c>
      <c r="N16" s="14"/>
      <c r="O16" s="32" t="s">
        <v>30</v>
      </c>
      <c r="P16" s="2">
        <v>442125.43</v>
      </c>
      <c r="Q16" s="13">
        <v>776609.26</v>
      </c>
    </row>
    <row r="17" spans="1:27">
      <c r="A17" s="1" t="s">
        <v>31</v>
      </c>
      <c r="B17" s="7">
        <v>86172</v>
      </c>
      <c r="C17" s="7">
        <v>168440</v>
      </c>
      <c r="D17" s="7">
        <v>312541</v>
      </c>
      <c r="E17" s="7">
        <v>430681</v>
      </c>
      <c r="F17" s="7">
        <v>543838</v>
      </c>
      <c r="G17" s="7">
        <v>636757</v>
      </c>
      <c r="H17" s="7">
        <v>731201</v>
      </c>
      <c r="I17" s="7">
        <v>818942</v>
      </c>
      <c r="J17" s="7">
        <v>938246</v>
      </c>
      <c r="K17" s="7">
        <v>1042680</v>
      </c>
      <c r="L17" s="7">
        <v>1146346</v>
      </c>
      <c r="M17" s="12">
        <v>1267504</v>
      </c>
      <c r="N17" s="14"/>
      <c r="O17" s="32" t="s">
        <v>31</v>
      </c>
      <c r="P17" s="2">
        <v>110569</v>
      </c>
      <c r="Q17" s="2">
        <v>207172</v>
      </c>
    </row>
    <row r="18" spans="1:27">
      <c r="A18" s="1" t="s">
        <v>32</v>
      </c>
      <c r="B18" s="7">
        <v>100.664</v>
      </c>
      <c r="C18" s="3">
        <v>199.726</v>
      </c>
      <c r="D18" s="3">
        <v>343.435</v>
      </c>
      <c r="E18" s="3">
        <v>472250</v>
      </c>
      <c r="F18" s="3">
        <v>502.289</v>
      </c>
      <c r="G18" s="3">
        <v>569.544</v>
      </c>
      <c r="H18" s="7">
        <v>602060</v>
      </c>
      <c r="I18" s="7">
        <v>647808</v>
      </c>
      <c r="J18" s="7">
        <v>704619</v>
      </c>
      <c r="K18" s="7">
        <v>751788</v>
      </c>
      <c r="L18" s="7">
        <v>880400</v>
      </c>
      <c r="M18" s="12">
        <v>1034009</v>
      </c>
      <c r="N18" s="14"/>
      <c r="O18" s="32" t="s">
        <v>32</v>
      </c>
      <c r="P18" s="2">
        <v>51002</v>
      </c>
      <c r="Q18" s="2">
        <v>94334</v>
      </c>
    </row>
    <row r="19" spans="1:27">
      <c r="A19" s="1" t="s">
        <v>33</v>
      </c>
      <c r="B19" s="7">
        <v>40382.26</v>
      </c>
      <c r="C19" s="7">
        <v>89515.02</v>
      </c>
      <c r="D19" s="7">
        <v>178293.18</v>
      </c>
      <c r="E19" s="7">
        <v>484388.04</v>
      </c>
      <c r="F19" s="7">
        <v>633076.91</v>
      </c>
      <c r="G19" s="7">
        <v>860176.53</v>
      </c>
      <c r="H19" s="7">
        <v>1113306.49</v>
      </c>
      <c r="I19" s="3" t="s">
        <v>426</v>
      </c>
      <c r="J19" s="3" t="s">
        <v>427</v>
      </c>
      <c r="K19" s="3" t="s">
        <v>428</v>
      </c>
      <c r="L19" s="3" t="s">
        <v>429</v>
      </c>
      <c r="M19" s="12">
        <v>1388020.55</v>
      </c>
      <c r="N19" s="14"/>
      <c r="O19" s="32" t="s">
        <v>33</v>
      </c>
      <c r="P19" s="2">
        <v>33512.7</v>
      </c>
      <c r="Q19" s="2">
        <v>75978.72</v>
      </c>
    </row>
    <row r="20" spans="1:27">
      <c r="A20" s="1" t="s">
        <v>40</v>
      </c>
      <c r="B20" s="7">
        <v>18.856</v>
      </c>
      <c r="C20" s="3">
        <v>33.837</v>
      </c>
      <c r="D20" s="3">
        <v>58.923</v>
      </c>
      <c r="E20" s="3">
        <v>85.847</v>
      </c>
      <c r="F20" s="3">
        <v>113.549</v>
      </c>
      <c r="G20" s="3">
        <v>145.584</v>
      </c>
      <c r="H20" s="3">
        <v>180.433</v>
      </c>
      <c r="I20" s="7">
        <v>219098</v>
      </c>
      <c r="J20" s="7">
        <v>248306</v>
      </c>
      <c r="K20" s="3"/>
      <c r="L20" s="7">
        <v>253462</v>
      </c>
      <c r="M20" s="12">
        <v>361280</v>
      </c>
      <c r="N20" s="14"/>
      <c r="O20" s="32" t="s">
        <v>40</v>
      </c>
    </row>
    <row r="21" spans="1:27">
      <c r="A21" s="1" t="s">
        <v>42</v>
      </c>
      <c r="B21" s="7">
        <v>41998</v>
      </c>
      <c r="C21" s="3">
        <v>84110</v>
      </c>
      <c r="D21" s="3">
        <v>124831</v>
      </c>
      <c r="E21" s="3">
        <v>155891</v>
      </c>
      <c r="F21" s="3">
        <v>190429</v>
      </c>
      <c r="G21" s="3">
        <v>228867</v>
      </c>
      <c r="H21" s="3">
        <v>267503</v>
      </c>
      <c r="I21" s="3">
        <v>305936</v>
      </c>
      <c r="J21" s="3">
        <v>342257</v>
      </c>
      <c r="K21" s="3">
        <v>382520</v>
      </c>
      <c r="L21" s="3">
        <v>427825</v>
      </c>
      <c r="M21" s="12">
        <v>498236</v>
      </c>
      <c r="N21" s="14"/>
      <c r="O21" s="32" t="s">
        <v>42</v>
      </c>
      <c r="P21">
        <v>42627</v>
      </c>
      <c r="Q21">
        <v>106628</v>
      </c>
    </row>
    <row r="22" spans="1:27">
      <c r="A22" s="1" t="s">
        <v>43</v>
      </c>
      <c r="B22" s="7">
        <v>139411</v>
      </c>
      <c r="C22" s="7">
        <v>289445</v>
      </c>
      <c r="D22" s="7">
        <v>318602</v>
      </c>
      <c r="E22" s="7">
        <v>443340</v>
      </c>
      <c r="F22" s="7">
        <v>461466</v>
      </c>
      <c r="G22" s="7">
        <v>490337</v>
      </c>
      <c r="H22" s="7">
        <v>512293</v>
      </c>
      <c r="I22" s="7">
        <v>564989</v>
      </c>
      <c r="J22" s="7">
        <v>624169</v>
      </c>
      <c r="K22" s="7">
        <v>711419</v>
      </c>
      <c r="L22" s="7">
        <v>737715</v>
      </c>
      <c r="M22" s="12">
        <v>759838</v>
      </c>
      <c r="N22" s="14"/>
      <c r="O22" s="32" t="s">
        <v>43</v>
      </c>
      <c r="P22" s="2">
        <v>29594</v>
      </c>
      <c r="Q22" s="2">
        <v>47332</v>
      </c>
    </row>
    <row r="23" spans="1:27">
      <c r="A23" s="1" t="s">
        <v>44</v>
      </c>
      <c r="B23" s="7">
        <v>333685</v>
      </c>
      <c r="C23" s="7">
        <v>654779</v>
      </c>
      <c r="D23" s="7">
        <v>781033</v>
      </c>
      <c r="E23" s="7">
        <v>811695</v>
      </c>
      <c r="F23" s="7">
        <v>830099</v>
      </c>
      <c r="G23" s="7">
        <v>852379</v>
      </c>
      <c r="H23" s="7">
        <v>894008</v>
      </c>
      <c r="I23" s="7">
        <v>913653</v>
      </c>
      <c r="J23" s="7">
        <v>943412</v>
      </c>
      <c r="K23" s="7">
        <v>959915</v>
      </c>
      <c r="L23" s="7">
        <v>976680</v>
      </c>
      <c r="M23" s="12">
        <v>1011649</v>
      </c>
      <c r="N23" s="14"/>
      <c r="O23" s="32" t="s">
        <v>44</v>
      </c>
      <c r="P23" s="2">
        <v>415959</v>
      </c>
      <c r="Q23" s="13">
        <v>835210</v>
      </c>
    </row>
    <row r="24" spans="1:27">
      <c r="A24" s="1" t="s">
        <v>45</v>
      </c>
      <c r="B24" s="7">
        <v>86.796</v>
      </c>
      <c r="C24" s="3">
        <v>161.095</v>
      </c>
      <c r="D24" s="3">
        <v>281.984</v>
      </c>
      <c r="E24" s="3">
        <v>554.998</v>
      </c>
      <c r="F24" s="3">
        <v>633.841</v>
      </c>
      <c r="G24" s="3">
        <v>726.894</v>
      </c>
      <c r="H24" s="7">
        <v>815057</v>
      </c>
      <c r="I24" s="7">
        <v>888475</v>
      </c>
      <c r="J24" s="3">
        <v>974.405</v>
      </c>
      <c r="K24" s="7">
        <v>1063345</v>
      </c>
      <c r="L24" s="7">
        <v>1162655</v>
      </c>
      <c r="M24" s="12">
        <v>1384005</v>
      </c>
      <c r="N24" s="14"/>
      <c r="O24" s="32" t="s">
        <v>45</v>
      </c>
      <c r="P24" s="2">
        <v>88495</v>
      </c>
    </row>
    <row r="25" spans="1:27">
      <c r="A25" s="1" t="s">
        <v>51</v>
      </c>
      <c r="B25" s="7">
        <v>28.987</v>
      </c>
      <c r="C25" s="3">
        <v>40.775</v>
      </c>
      <c r="D25" s="3">
        <v>51.245</v>
      </c>
      <c r="E25" s="3">
        <v>88.838</v>
      </c>
      <c r="F25" s="3">
        <v>99810</v>
      </c>
      <c r="G25" s="3">
        <v>113530</v>
      </c>
      <c r="H25" s="3">
        <v>126.283</v>
      </c>
      <c r="I25" s="3">
        <v>136403</v>
      </c>
      <c r="J25" s="3">
        <v>150.181</v>
      </c>
      <c r="K25" s="3">
        <v>160.477</v>
      </c>
      <c r="L25" s="3">
        <v>170.874</v>
      </c>
      <c r="M25" s="12">
        <v>344555</v>
      </c>
      <c r="N25" s="14"/>
      <c r="O25" s="32" t="s">
        <v>51</v>
      </c>
      <c r="P25">
        <v>20.592</v>
      </c>
      <c r="Q25">
        <v>31.054</v>
      </c>
    </row>
    <row r="26" spans="1:27">
      <c r="A26" s="1" t="s">
        <v>52</v>
      </c>
      <c r="B26" s="7">
        <v>277987</v>
      </c>
      <c r="C26" s="3">
        <v>643667</v>
      </c>
      <c r="D26" s="3">
        <v>1046779</v>
      </c>
      <c r="E26" s="3">
        <v>1370890</v>
      </c>
      <c r="F26" s="3">
        <v>1761445</v>
      </c>
      <c r="G26" s="3">
        <v>2069820</v>
      </c>
      <c r="H26" s="3">
        <v>2461393</v>
      </c>
      <c r="I26" s="3">
        <v>2787938</v>
      </c>
      <c r="J26" s="3">
        <v>3032118</v>
      </c>
      <c r="K26" s="3">
        <v>3449716</v>
      </c>
      <c r="L26" s="3">
        <v>3758250</v>
      </c>
      <c r="M26" s="12">
        <v>4360663</v>
      </c>
      <c r="N26" s="14"/>
      <c r="O26" s="32" t="s">
        <v>52</v>
      </c>
      <c r="P26">
        <v>360608</v>
      </c>
      <c r="Q26" s="43">
        <v>740222</v>
      </c>
    </row>
    <row r="27" spans="1:27">
      <c r="A27" s="15" t="s">
        <v>53</v>
      </c>
      <c r="B27" s="2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/>
      <c r="N27" s="14"/>
      <c r="O27" s="35" t="s">
        <v>53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>
      <c r="A28" s="1" t="s">
        <v>55</v>
      </c>
      <c r="B28" s="7">
        <v>277.747</v>
      </c>
      <c r="C28" s="3">
        <v>432.351</v>
      </c>
      <c r="D28" s="3">
        <v>729.565</v>
      </c>
      <c r="E28" s="3" t="s">
        <v>430</v>
      </c>
      <c r="F28" s="3" t="s">
        <v>431</v>
      </c>
      <c r="G28" s="3" t="s">
        <v>432</v>
      </c>
      <c r="H28" s="3" t="s">
        <v>433</v>
      </c>
      <c r="I28" s="3" t="s">
        <v>434</v>
      </c>
      <c r="J28" s="3" t="s">
        <v>435</v>
      </c>
      <c r="K28" s="3" t="s">
        <v>436</v>
      </c>
      <c r="L28" s="3" t="s">
        <v>437</v>
      </c>
      <c r="M28" s="12">
        <v>4010953</v>
      </c>
      <c r="N28" s="14"/>
      <c r="O28" s="32" t="s">
        <v>55</v>
      </c>
      <c r="P28" s="2">
        <v>291839</v>
      </c>
      <c r="Q28" s="2">
        <v>450206</v>
      </c>
    </row>
    <row r="29" spans="1:27">
      <c r="A29" s="1" t="s">
        <v>65</v>
      </c>
      <c r="B29" s="7">
        <v>125268</v>
      </c>
      <c r="C29" s="7">
        <v>223973</v>
      </c>
      <c r="D29" s="7">
        <v>365333</v>
      </c>
      <c r="E29" s="7">
        <v>451133</v>
      </c>
      <c r="F29" s="7">
        <v>546272</v>
      </c>
      <c r="G29" s="7">
        <v>626965</v>
      </c>
      <c r="H29" s="7">
        <v>717530</v>
      </c>
      <c r="I29" s="7">
        <v>796145</v>
      </c>
      <c r="J29" s="7">
        <v>872759</v>
      </c>
      <c r="K29" s="7">
        <v>951233</v>
      </c>
      <c r="L29" s="7">
        <v>1035655</v>
      </c>
      <c r="M29" s="12">
        <v>1162359</v>
      </c>
      <c r="N29" s="14"/>
      <c r="O29" s="32" t="s">
        <v>65</v>
      </c>
      <c r="P29">
        <v>151.392</v>
      </c>
      <c r="Q29" s="2">
        <v>261612</v>
      </c>
    </row>
    <row r="30" spans="1:27">
      <c r="A30" s="1" t="s">
        <v>66</v>
      </c>
      <c r="B30" s="7">
        <v>62285</v>
      </c>
      <c r="C30" s="7">
        <v>123814</v>
      </c>
      <c r="D30" s="7">
        <v>196521</v>
      </c>
      <c r="E30" s="7">
        <v>266800</v>
      </c>
      <c r="F30" s="7">
        <v>33716</v>
      </c>
      <c r="G30" s="7">
        <v>407589</v>
      </c>
      <c r="H30" s="7">
        <v>486224</v>
      </c>
      <c r="I30" s="7">
        <v>565070</v>
      </c>
      <c r="J30" s="7">
        <v>643778</v>
      </c>
      <c r="K30" s="7">
        <v>732700</v>
      </c>
      <c r="L30" s="7">
        <v>833877</v>
      </c>
      <c r="M30" s="12">
        <v>958843</v>
      </c>
      <c r="N30" s="14"/>
      <c r="O30" s="32" t="s">
        <v>66</v>
      </c>
      <c r="P30">
        <v>84295</v>
      </c>
      <c r="Q30" s="2">
        <v>198991</v>
      </c>
    </row>
    <row r="31" spans="1:27">
      <c r="A31" s="1" t="s">
        <v>67</v>
      </c>
      <c r="B31" s="7">
        <v>39353</v>
      </c>
      <c r="C31" s="7">
        <v>260213</v>
      </c>
      <c r="D31" s="7">
        <v>378596</v>
      </c>
      <c r="E31" s="7">
        <v>416828</v>
      </c>
      <c r="F31" s="7">
        <v>724851</v>
      </c>
      <c r="G31" s="7">
        <v>740256</v>
      </c>
      <c r="H31" s="7">
        <v>798626</v>
      </c>
      <c r="I31" s="7">
        <v>1020870</v>
      </c>
      <c r="J31" s="7">
        <v>1407147</v>
      </c>
      <c r="K31" s="7">
        <v>1425614</v>
      </c>
      <c r="L31" s="7">
        <v>1403688</v>
      </c>
      <c r="M31" s="12">
        <v>1423637</v>
      </c>
      <c r="N31" s="14"/>
      <c r="O31" s="32" t="s">
        <v>67</v>
      </c>
      <c r="P31" s="2">
        <v>42353</v>
      </c>
      <c r="Q31" s="2">
        <v>60527</v>
      </c>
    </row>
    <row r="32" spans="1:27">
      <c r="A32" s="1" t="s">
        <v>68</v>
      </c>
      <c r="B32" s="7">
        <v>17108</v>
      </c>
      <c r="C32" s="7">
        <v>33660</v>
      </c>
      <c r="D32" s="7">
        <v>55645</v>
      </c>
      <c r="E32" s="7">
        <v>68094</v>
      </c>
      <c r="F32" s="7">
        <v>86756</v>
      </c>
      <c r="G32" s="7">
        <v>99418</v>
      </c>
      <c r="H32" s="7">
        <v>119964</v>
      </c>
      <c r="I32" s="7">
        <v>134761</v>
      </c>
      <c r="J32" s="7">
        <v>151517</v>
      </c>
      <c r="K32" s="7">
        <v>173771</v>
      </c>
      <c r="L32" s="7">
        <v>192844</v>
      </c>
      <c r="M32" s="12">
        <v>211464</v>
      </c>
      <c r="N32" s="14"/>
      <c r="O32" s="32" t="s">
        <v>68</v>
      </c>
      <c r="P32" s="2">
        <v>24100</v>
      </c>
      <c r="Q32" s="2">
        <v>38583</v>
      </c>
    </row>
    <row r="33" spans="1:27">
      <c r="A33" s="1" t="s">
        <v>69</v>
      </c>
      <c r="B33" s="7">
        <v>72713</v>
      </c>
      <c r="C33" s="7">
        <v>134470</v>
      </c>
      <c r="D33" s="7">
        <v>212944</v>
      </c>
      <c r="E33" s="7">
        <v>269519</v>
      </c>
      <c r="F33" s="7">
        <v>335384</v>
      </c>
      <c r="G33" s="7">
        <v>402067</v>
      </c>
      <c r="H33" s="7">
        <v>474046</v>
      </c>
      <c r="I33" s="7">
        <v>530836</v>
      </c>
      <c r="J33" s="7">
        <v>600221</v>
      </c>
      <c r="K33" s="7">
        <v>680015</v>
      </c>
      <c r="L33" s="7">
        <v>738473</v>
      </c>
      <c r="M33" s="12">
        <v>831876</v>
      </c>
      <c r="N33" s="14"/>
      <c r="O33" s="32" t="s">
        <v>69</v>
      </c>
      <c r="P33" s="2">
        <v>66235</v>
      </c>
      <c r="Q33" s="2">
        <v>123522</v>
      </c>
    </row>
    <row r="34" spans="1:27">
      <c r="A34" s="1" t="s">
        <v>70</v>
      </c>
      <c r="B34" s="7">
        <v>10490</v>
      </c>
      <c r="C34" s="3">
        <v>18.016</v>
      </c>
      <c r="D34" s="3">
        <v>27.507</v>
      </c>
      <c r="E34" s="3">
        <v>34.079</v>
      </c>
      <c r="F34" s="3">
        <v>44.336</v>
      </c>
      <c r="G34" s="3">
        <v>53.017</v>
      </c>
      <c r="H34" s="3">
        <v>64.242</v>
      </c>
      <c r="I34" s="3">
        <v>74.443</v>
      </c>
      <c r="J34" s="3">
        <v>92.427</v>
      </c>
      <c r="K34" s="3">
        <v>102.454</v>
      </c>
      <c r="L34" s="3">
        <v>113.282</v>
      </c>
      <c r="M34" s="12">
        <v>135076</v>
      </c>
      <c r="N34" s="14"/>
      <c r="O34" s="32" t="s">
        <v>70</v>
      </c>
      <c r="P34">
        <v>18.202</v>
      </c>
      <c r="Q34" s="2">
        <v>32011</v>
      </c>
    </row>
    <row r="35" spans="1:27">
      <c r="A35" s="1" t="s">
        <v>71</v>
      </c>
      <c r="B35" s="7">
        <v>87576.64</v>
      </c>
      <c r="C35" s="7">
        <v>147816.72</v>
      </c>
      <c r="D35" s="7">
        <v>186616.91</v>
      </c>
      <c r="E35" s="7">
        <v>228172.13</v>
      </c>
      <c r="F35" s="7">
        <v>262916.47</v>
      </c>
      <c r="G35" s="7">
        <v>315474.9</v>
      </c>
      <c r="H35" s="7">
        <v>346909.91</v>
      </c>
      <c r="I35" s="7">
        <v>385534.35</v>
      </c>
      <c r="J35" s="7">
        <v>413214.3</v>
      </c>
      <c r="K35" s="7">
        <v>437428.56</v>
      </c>
      <c r="L35" s="7">
        <v>454335.2</v>
      </c>
      <c r="M35" s="12">
        <v>485004</v>
      </c>
      <c r="N35" s="14"/>
      <c r="O35" s="32" t="s">
        <v>71</v>
      </c>
      <c r="P35" s="2">
        <v>66636.14</v>
      </c>
      <c r="Q35" s="2">
        <v>107400.2</v>
      </c>
    </row>
    <row r="36" spans="1:27">
      <c r="A36" s="1" t="s">
        <v>72</v>
      </c>
      <c r="B36" s="7">
        <v>20288</v>
      </c>
      <c r="C36" s="7">
        <v>64863</v>
      </c>
      <c r="D36" s="7">
        <v>110668</v>
      </c>
      <c r="E36" s="7">
        <v>162498</v>
      </c>
      <c r="F36" s="7">
        <v>202667</v>
      </c>
      <c r="G36" s="7">
        <v>250306</v>
      </c>
      <c r="H36" s="7">
        <v>309063</v>
      </c>
      <c r="I36" s="7">
        <v>350944</v>
      </c>
      <c r="J36" s="7">
        <v>387563</v>
      </c>
      <c r="K36" s="7">
        <v>429023</v>
      </c>
      <c r="L36" s="7">
        <v>463833</v>
      </c>
      <c r="M36" s="12">
        <v>534387</v>
      </c>
      <c r="N36" s="14"/>
      <c r="O36" s="32" t="s">
        <v>72</v>
      </c>
      <c r="P36" s="2">
        <v>55767</v>
      </c>
      <c r="Q36" s="2">
        <v>83614</v>
      </c>
    </row>
    <row r="37" spans="1:27">
      <c r="A37" s="1" t="s">
        <v>73</v>
      </c>
      <c r="B37" s="7" t="s">
        <v>438</v>
      </c>
      <c r="C37" s="3" t="s">
        <v>439</v>
      </c>
      <c r="D37" s="3" t="s">
        <v>440</v>
      </c>
      <c r="E37" s="3" t="s">
        <v>441</v>
      </c>
      <c r="F37" s="3" t="s">
        <v>442</v>
      </c>
      <c r="G37" s="3" t="s">
        <v>443</v>
      </c>
      <c r="H37" s="3" t="s">
        <v>444</v>
      </c>
      <c r="I37" s="7">
        <v>6068157</v>
      </c>
      <c r="J37" s="3" t="s">
        <v>445</v>
      </c>
      <c r="K37" s="3" t="s">
        <v>446</v>
      </c>
      <c r="L37" s="3" t="s">
        <v>447</v>
      </c>
      <c r="M37" s="12">
        <v>9095916</v>
      </c>
      <c r="N37" s="14"/>
      <c r="O37" s="32" t="s">
        <v>73</v>
      </c>
      <c r="P37" s="2">
        <v>2750817</v>
      </c>
      <c r="Q37" s="13">
        <v>3355643</v>
      </c>
    </row>
    <row r="38" spans="1:27">
      <c r="A38" s="1" t="s">
        <v>82</v>
      </c>
      <c r="B38" s="7">
        <v>18.797</v>
      </c>
      <c r="C38" s="3">
        <v>35.407</v>
      </c>
      <c r="D38" s="3">
        <v>54.399</v>
      </c>
      <c r="E38" s="3">
        <v>72.148</v>
      </c>
      <c r="F38" s="3">
        <v>90.353</v>
      </c>
      <c r="G38" s="3">
        <v>108.805</v>
      </c>
      <c r="H38" s="3">
        <v>128.553</v>
      </c>
      <c r="I38" s="3">
        <v>149.124</v>
      </c>
      <c r="J38" s="3">
        <v>167.648</v>
      </c>
      <c r="K38" s="3">
        <v>186.703</v>
      </c>
      <c r="L38" s="3">
        <v>205.661</v>
      </c>
      <c r="M38" s="12">
        <v>225842</v>
      </c>
      <c r="N38" s="14"/>
      <c r="O38" s="32" t="s">
        <v>82</v>
      </c>
      <c r="P38">
        <v>18.949</v>
      </c>
      <c r="Q38" s="2">
        <v>37802</v>
      </c>
    </row>
    <row r="39" spans="1:27">
      <c r="A39" s="1" t="s">
        <v>83</v>
      </c>
      <c r="B39" s="7">
        <v>10.262</v>
      </c>
      <c r="C39" s="3">
        <v>22.133</v>
      </c>
      <c r="D39" s="3">
        <v>37.481</v>
      </c>
      <c r="E39" s="3">
        <v>55220</v>
      </c>
      <c r="F39" s="3">
        <v>63.973</v>
      </c>
      <c r="G39" s="3">
        <v>81.481</v>
      </c>
      <c r="H39" s="7">
        <v>112425</v>
      </c>
      <c r="I39" s="7">
        <v>165710</v>
      </c>
      <c r="J39" s="3">
        <v>179.575</v>
      </c>
      <c r="K39" s="7">
        <v>194226</v>
      </c>
      <c r="L39" s="7">
        <v>218766</v>
      </c>
      <c r="M39" s="12">
        <v>244516</v>
      </c>
      <c r="N39" s="14"/>
      <c r="O39" s="32" t="s">
        <v>83</v>
      </c>
      <c r="P39" s="2">
        <v>6099</v>
      </c>
      <c r="Q39" s="2">
        <v>91448</v>
      </c>
    </row>
    <row r="40" spans="1:27">
      <c r="A40" s="1" t="s">
        <v>84</v>
      </c>
      <c r="B40" s="7">
        <v>76575</v>
      </c>
      <c r="C40" s="7">
        <v>191647</v>
      </c>
      <c r="D40" s="3">
        <v>312.444</v>
      </c>
      <c r="E40" s="7">
        <v>414407</v>
      </c>
      <c r="F40" s="7">
        <v>616438</v>
      </c>
      <c r="G40" s="7">
        <v>753450</v>
      </c>
      <c r="H40" s="7">
        <v>859275</v>
      </c>
      <c r="I40" s="7">
        <v>974097</v>
      </c>
      <c r="J40" s="7">
        <v>1078706</v>
      </c>
      <c r="K40" s="7">
        <v>1197017</v>
      </c>
      <c r="L40" s="7">
        <v>1330218</v>
      </c>
      <c r="M40" s="12">
        <v>1494227</v>
      </c>
      <c r="N40" s="14"/>
      <c r="O40" s="32" t="s">
        <v>84</v>
      </c>
      <c r="P40" s="2">
        <v>94457</v>
      </c>
      <c r="Q40" s="2">
        <v>206225</v>
      </c>
    </row>
    <row r="41" spans="1:27">
      <c r="A41" s="1" t="s">
        <v>85</v>
      </c>
      <c r="B41" s="7">
        <v>56257</v>
      </c>
      <c r="C41" s="7">
        <v>156867</v>
      </c>
      <c r="D41" s="7">
        <v>257151</v>
      </c>
      <c r="E41" s="7">
        <v>334932</v>
      </c>
      <c r="F41" s="7">
        <v>375530</v>
      </c>
      <c r="G41" s="7">
        <v>422594</v>
      </c>
      <c r="H41" s="7">
        <v>474152</v>
      </c>
      <c r="I41" s="7">
        <v>525237</v>
      </c>
      <c r="J41" s="7">
        <v>538179</v>
      </c>
      <c r="K41" s="7">
        <v>567724</v>
      </c>
      <c r="L41" s="3">
        <v>578610</v>
      </c>
      <c r="M41" s="4">
        <v>622.559</v>
      </c>
      <c r="N41" s="14"/>
      <c r="O41" s="32" t="s">
        <v>85</v>
      </c>
      <c r="Q41">
        <v>168659</v>
      </c>
    </row>
    <row r="42" spans="1:27">
      <c r="A42" s="1" t="s">
        <v>88</v>
      </c>
      <c r="B42" s="7">
        <v>13542.49</v>
      </c>
      <c r="C42" s="7">
        <v>21777.19</v>
      </c>
      <c r="D42" s="7">
        <v>27764.23</v>
      </c>
      <c r="E42" s="7">
        <v>34386.96</v>
      </c>
      <c r="F42" s="7">
        <v>42478.85</v>
      </c>
      <c r="G42" s="7">
        <v>49097.95</v>
      </c>
      <c r="H42" s="7">
        <v>57520.04</v>
      </c>
      <c r="I42" s="7">
        <v>64821.36</v>
      </c>
      <c r="J42" s="7">
        <v>73908.82</v>
      </c>
      <c r="K42" s="7">
        <v>85297.9</v>
      </c>
      <c r="L42" s="7">
        <v>94666.61</v>
      </c>
      <c r="M42" s="12">
        <v>114231</v>
      </c>
      <c r="N42" s="14"/>
      <c r="O42" s="32" t="s">
        <v>88</v>
      </c>
      <c r="P42" s="2">
        <v>9768.25</v>
      </c>
      <c r="Q42" s="2">
        <v>16085.16</v>
      </c>
    </row>
    <row r="43" spans="1:27">
      <c r="A43" s="1" t="s">
        <v>89</v>
      </c>
      <c r="B43" s="7">
        <v>4446</v>
      </c>
      <c r="C43" s="7">
        <v>8552</v>
      </c>
      <c r="D43" s="7">
        <v>37761</v>
      </c>
      <c r="E43" s="3">
        <v>43.465</v>
      </c>
      <c r="F43" s="7">
        <v>48205</v>
      </c>
      <c r="G43" s="7">
        <v>53561</v>
      </c>
      <c r="H43" s="3">
        <v>58.038</v>
      </c>
      <c r="I43" s="7">
        <v>100012</v>
      </c>
      <c r="J43" s="3">
        <v>102.578</v>
      </c>
      <c r="K43" s="3">
        <v>108.422</v>
      </c>
      <c r="L43" s="3">
        <v>114.624</v>
      </c>
      <c r="M43" s="12">
        <v>120722</v>
      </c>
      <c r="N43" s="14"/>
      <c r="O43" s="32" t="s">
        <v>89</v>
      </c>
      <c r="P43" s="2">
        <v>5783</v>
      </c>
      <c r="Q43">
        <v>10.925</v>
      </c>
    </row>
    <row r="44" spans="1:27">
      <c r="A44" s="1" t="s">
        <v>90</v>
      </c>
      <c r="B44" s="7">
        <v>9422.03</v>
      </c>
      <c r="C44" s="7">
        <v>14754.36</v>
      </c>
      <c r="D44" s="7">
        <v>18495.45</v>
      </c>
      <c r="E44" s="7">
        <v>21664.04</v>
      </c>
      <c r="F44" s="7">
        <v>24566.11</v>
      </c>
      <c r="G44" s="7">
        <v>28871.88</v>
      </c>
      <c r="H44" s="7">
        <v>31435.59</v>
      </c>
      <c r="I44" s="7">
        <v>31435.59</v>
      </c>
      <c r="J44" s="7">
        <v>36590.34</v>
      </c>
      <c r="K44" s="7">
        <v>55909.04</v>
      </c>
      <c r="L44" s="7">
        <v>60283.87</v>
      </c>
      <c r="M44" s="12">
        <v>63848.26</v>
      </c>
      <c r="N44" s="14"/>
      <c r="O44" s="32" t="s">
        <v>90</v>
      </c>
      <c r="P44" s="2">
        <v>2474.93</v>
      </c>
    </row>
    <row r="45" spans="1:27">
      <c r="A45" s="1" t="s">
        <v>91</v>
      </c>
      <c r="B45" s="7">
        <v>115475</v>
      </c>
      <c r="C45" s="7">
        <v>256168</v>
      </c>
      <c r="D45" s="7">
        <v>460355</v>
      </c>
      <c r="E45" s="3">
        <v>586.994</v>
      </c>
      <c r="F45" s="3">
        <v>759.719</v>
      </c>
      <c r="G45" s="3">
        <v>986.587</v>
      </c>
      <c r="H45" s="3" t="s">
        <v>448</v>
      </c>
      <c r="I45" s="3" t="s">
        <v>449</v>
      </c>
      <c r="J45" s="3" t="s">
        <v>450</v>
      </c>
      <c r="K45" s="3" t="s">
        <v>451</v>
      </c>
      <c r="L45" s="3" t="s">
        <v>452</v>
      </c>
      <c r="M45" s="12">
        <v>2810466</v>
      </c>
      <c r="N45" s="14"/>
      <c r="O45" s="32" t="s">
        <v>91</v>
      </c>
      <c r="P45">
        <v>101.965</v>
      </c>
      <c r="Q45">
        <v>281.721</v>
      </c>
    </row>
    <row r="46" spans="1:27">
      <c r="A46" s="1" t="s">
        <v>100</v>
      </c>
      <c r="B46" s="7">
        <v>150244</v>
      </c>
      <c r="C46" s="7">
        <v>221198</v>
      </c>
      <c r="D46" s="7">
        <v>259337</v>
      </c>
      <c r="E46" s="7">
        <v>281247</v>
      </c>
      <c r="F46" s="7">
        <v>359632</v>
      </c>
      <c r="G46" s="7">
        <v>437698</v>
      </c>
      <c r="H46" s="7">
        <v>542913</v>
      </c>
      <c r="I46" s="7">
        <v>592669</v>
      </c>
      <c r="J46" s="7">
        <v>668900</v>
      </c>
      <c r="K46" s="7">
        <v>691264</v>
      </c>
      <c r="L46" s="7">
        <v>711195</v>
      </c>
      <c r="M46" s="12">
        <v>773217</v>
      </c>
      <c r="N46" s="14"/>
      <c r="O46" s="32" t="s">
        <v>100</v>
      </c>
      <c r="P46" s="2">
        <v>15901</v>
      </c>
      <c r="Q46" s="2">
        <v>90498</v>
      </c>
    </row>
    <row r="47" spans="1:27">
      <c r="A47" s="1" t="s">
        <v>101</v>
      </c>
      <c r="B47" s="7">
        <v>49032</v>
      </c>
      <c r="C47" s="7">
        <v>457926</v>
      </c>
      <c r="D47" s="7">
        <v>490615</v>
      </c>
      <c r="E47" s="7">
        <v>703200</v>
      </c>
      <c r="F47" s="7">
        <v>727124</v>
      </c>
      <c r="G47" s="7">
        <v>903564</v>
      </c>
      <c r="H47" s="7">
        <v>925511</v>
      </c>
      <c r="I47" s="7">
        <v>941659</v>
      </c>
      <c r="J47" s="7">
        <v>965934</v>
      </c>
      <c r="K47" s="7">
        <v>992352</v>
      </c>
      <c r="L47" s="7">
        <v>1026947</v>
      </c>
      <c r="M47" s="12">
        <v>1176275</v>
      </c>
      <c r="N47" s="14"/>
      <c r="O47" s="32" t="s">
        <v>101</v>
      </c>
      <c r="P47" s="2">
        <v>50782</v>
      </c>
      <c r="Q47" s="2">
        <v>456399</v>
      </c>
    </row>
    <row r="48" spans="1:27">
      <c r="A48" s="1" t="s">
        <v>102</v>
      </c>
      <c r="B48" s="7">
        <v>543.821</v>
      </c>
      <c r="C48" s="3" t="s">
        <v>453</v>
      </c>
      <c r="D48" s="7">
        <v>1489940</v>
      </c>
      <c r="E48" s="3" t="s">
        <v>454</v>
      </c>
      <c r="F48" s="3" t="s">
        <v>455</v>
      </c>
      <c r="G48" s="3" t="s">
        <v>456</v>
      </c>
      <c r="H48" s="3" t="s">
        <v>457</v>
      </c>
      <c r="I48" s="3" t="s">
        <v>458</v>
      </c>
      <c r="J48" s="7">
        <v>6164859</v>
      </c>
      <c r="K48" s="7">
        <v>6730660</v>
      </c>
      <c r="L48" s="7">
        <v>7107761</v>
      </c>
      <c r="M48" s="12">
        <v>7744286</v>
      </c>
      <c r="N48" s="14"/>
      <c r="O48" s="32" t="s">
        <v>102</v>
      </c>
      <c r="P48" s="2">
        <v>99501</v>
      </c>
    </row>
    <row r="49" spans="1:27">
      <c r="A49" s="1" t="s">
        <v>108</v>
      </c>
      <c r="B49" s="7">
        <v>10225.69</v>
      </c>
      <c r="C49" s="7">
        <v>26393.01</v>
      </c>
      <c r="D49" s="7">
        <v>42521.75</v>
      </c>
      <c r="E49" s="7">
        <v>89829.7</v>
      </c>
      <c r="F49" s="7">
        <v>106174.42</v>
      </c>
      <c r="G49" s="7">
        <v>125642.1</v>
      </c>
      <c r="H49" s="7">
        <v>146343.1</v>
      </c>
      <c r="I49" s="7">
        <v>218204.11</v>
      </c>
      <c r="J49" s="7">
        <v>363644.96</v>
      </c>
      <c r="K49" s="7">
        <v>483517.93</v>
      </c>
      <c r="L49" s="7">
        <v>591113.72</v>
      </c>
      <c r="M49" s="12">
        <v>674175</v>
      </c>
      <c r="N49" s="14"/>
      <c r="O49" s="32" t="s">
        <v>108</v>
      </c>
      <c r="P49" s="2">
        <v>131963.16</v>
      </c>
      <c r="Q49" s="2">
        <v>225411.62</v>
      </c>
    </row>
    <row r="50" spans="1:27">
      <c r="A50" s="1" t="s">
        <v>109</v>
      </c>
      <c r="B50" s="7">
        <v>50212.02</v>
      </c>
      <c r="C50" s="7">
        <v>94674.18</v>
      </c>
      <c r="D50" s="7">
        <v>145292.17</v>
      </c>
      <c r="E50" s="7">
        <v>191955.23</v>
      </c>
      <c r="F50" s="7">
        <v>226015.3</v>
      </c>
      <c r="G50" s="7">
        <v>267113.56</v>
      </c>
      <c r="H50" s="7">
        <v>344364.93</v>
      </c>
      <c r="I50" s="7">
        <v>385583.98</v>
      </c>
      <c r="J50" s="7">
        <v>426550.65</v>
      </c>
      <c r="K50" s="7">
        <v>464039.24</v>
      </c>
      <c r="L50" s="7">
        <v>510185.92</v>
      </c>
      <c r="M50" s="12">
        <v>548614</v>
      </c>
      <c r="N50" s="14"/>
      <c r="O50" s="32" t="s">
        <v>109</v>
      </c>
      <c r="P50" s="2">
        <v>66433.65</v>
      </c>
      <c r="Q50" s="2">
        <v>147218.96</v>
      </c>
    </row>
    <row r="51" spans="1:27">
      <c r="A51" s="1" t="s">
        <v>110</v>
      </c>
      <c r="B51" s="7">
        <v>7733</v>
      </c>
      <c r="C51" s="7">
        <v>31934</v>
      </c>
      <c r="D51" s="7">
        <v>53657</v>
      </c>
      <c r="E51" s="7">
        <v>63866</v>
      </c>
      <c r="F51" s="7">
        <v>85645</v>
      </c>
      <c r="G51" s="7">
        <v>103654</v>
      </c>
      <c r="H51" s="7">
        <v>123306</v>
      </c>
      <c r="I51" s="7">
        <v>145985</v>
      </c>
      <c r="J51" s="7">
        <v>175089</v>
      </c>
      <c r="K51" s="7">
        <v>200016</v>
      </c>
      <c r="L51" s="7">
        <v>239970</v>
      </c>
      <c r="M51" s="12">
        <v>363843</v>
      </c>
      <c r="N51" s="14"/>
      <c r="O51" s="32" t="s">
        <v>110</v>
      </c>
      <c r="P51" s="2">
        <v>19640</v>
      </c>
      <c r="Q51" s="2">
        <v>47028</v>
      </c>
    </row>
    <row r="52" spans="1:27">
      <c r="A52" s="1" t="s">
        <v>111</v>
      </c>
      <c r="B52" s="7">
        <v>68835</v>
      </c>
      <c r="C52" s="7">
        <v>150042</v>
      </c>
      <c r="D52" s="7">
        <v>215115</v>
      </c>
      <c r="E52" s="7">
        <v>272033</v>
      </c>
      <c r="F52" s="7">
        <v>318218</v>
      </c>
      <c r="G52" s="7">
        <v>357309</v>
      </c>
      <c r="H52" s="7">
        <v>415021</v>
      </c>
      <c r="I52" s="7">
        <v>451686</v>
      </c>
      <c r="J52" s="7">
        <v>489492</v>
      </c>
      <c r="K52" s="7">
        <v>530191</v>
      </c>
      <c r="L52" s="7">
        <v>571556</v>
      </c>
      <c r="M52" s="12">
        <v>678367</v>
      </c>
      <c r="N52" s="14"/>
      <c r="O52" s="32" t="s">
        <v>111</v>
      </c>
      <c r="P52" s="2">
        <v>69592</v>
      </c>
      <c r="Q52" s="2">
        <v>143887</v>
      </c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15" t="s">
        <v>112</v>
      </c>
      <c r="B53" s="2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14"/>
      <c r="O53" s="35" t="s">
        <v>112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>
      <c r="A54" s="15" t="s">
        <v>114</v>
      </c>
      <c r="B54" s="2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14"/>
      <c r="O54" s="35" t="s">
        <v>114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>
      <c r="A55" s="1" t="s">
        <v>116</v>
      </c>
      <c r="B55" s="7">
        <v>453515</v>
      </c>
      <c r="C55" s="7">
        <v>634121</v>
      </c>
      <c r="D55" s="7">
        <v>832336</v>
      </c>
      <c r="E55" s="7">
        <v>1006254</v>
      </c>
      <c r="F55" s="7">
        <v>1142210</v>
      </c>
      <c r="G55" s="7">
        <v>1314395</v>
      </c>
      <c r="H55" s="7">
        <v>1792577</v>
      </c>
      <c r="I55" s="7">
        <v>2130048</v>
      </c>
      <c r="J55" s="7">
        <v>2324619</v>
      </c>
      <c r="K55" s="7">
        <v>2584258</v>
      </c>
      <c r="L55" s="7">
        <v>2759180</v>
      </c>
      <c r="M55" s="12">
        <v>3027949</v>
      </c>
      <c r="N55" s="14"/>
      <c r="O55" s="32" t="s">
        <v>116</v>
      </c>
      <c r="P55" s="2">
        <v>595936</v>
      </c>
      <c r="Q55" s="13">
        <v>781383</v>
      </c>
    </row>
    <row r="56" spans="1:27">
      <c r="A56" s="1" t="s">
        <v>117</v>
      </c>
      <c r="B56" s="7">
        <v>123785</v>
      </c>
      <c r="C56" s="7">
        <v>211800</v>
      </c>
      <c r="D56" s="7">
        <v>346675</v>
      </c>
      <c r="E56" s="7">
        <v>413181</v>
      </c>
      <c r="F56" s="7">
        <v>504764</v>
      </c>
      <c r="G56" s="7">
        <v>589717</v>
      </c>
      <c r="H56" s="7">
        <v>698609</v>
      </c>
      <c r="I56" s="7">
        <v>783147</v>
      </c>
      <c r="J56" s="7">
        <v>861483</v>
      </c>
      <c r="K56" s="7">
        <v>944994</v>
      </c>
      <c r="L56" s="7">
        <v>1029927</v>
      </c>
      <c r="M56" s="12">
        <v>1144886</v>
      </c>
      <c r="N56" s="14"/>
      <c r="O56" s="32" t="s">
        <v>117</v>
      </c>
      <c r="P56" s="2">
        <v>130522</v>
      </c>
      <c r="Q56" s="2">
        <v>249384</v>
      </c>
    </row>
    <row r="57" spans="1:27">
      <c r="A57" s="1" t="s">
        <v>118</v>
      </c>
      <c r="B57" s="7">
        <v>354620</v>
      </c>
      <c r="C57" s="7">
        <v>537904</v>
      </c>
      <c r="D57" s="7">
        <v>1104526</v>
      </c>
      <c r="E57" s="7">
        <v>1289608</v>
      </c>
      <c r="F57" s="7">
        <v>1442591</v>
      </c>
      <c r="G57" s="7">
        <v>1648709</v>
      </c>
      <c r="H57" s="7">
        <v>1880116</v>
      </c>
      <c r="I57" s="7">
        <v>2098914</v>
      </c>
      <c r="J57" s="7">
        <v>2280750</v>
      </c>
      <c r="K57" s="7">
        <v>2417188</v>
      </c>
      <c r="L57" s="7">
        <v>2514499</v>
      </c>
      <c r="M57" s="12">
        <v>2641227</v>
      </c>
      <c r="N57" s="14"/>
      <c r="O57" s="32" t="s">
        <v>118</v>
      </c>
      <c r="P57" s="2">
        <v>375075</v>
      </c>
      <c r="Q57" s="13">
        <v>534417</v>
      </c>
    </row>
    <row r="58" spans="1:27">
      <c r="A58" s="1" t="s">
        <v>119</v>
      </c>
      <c r="B58" s="7">
        <v>542227</v>
      </c>
      <c r="C58" s="7">
        <v>883421</v>
      </c>
      <c r="D58" s="7">
        <v>1250196</v>
      </c>
      <c r="E58" s="7">
        <v>2061467</v>
      </c>
      <c r="F58" s="7">
        <v>2436379</v>
      </c>
      <c r="G58" s="7">
        <v>3780794</v>
      </c>
      <c r="H58" s="7">
        <v>4338151</v>
      </c>
      <c r="I58" s="7">
        <v>4636890</v>
      </c>
      <c r="J58" s="7">
        <v>4796505</v>
      </c>
      <c r="K58" s="7">
        <v>5087735</v>
      </c>
      <c r="L58" s="7">
        <v>5225698</v>
      </c>
      <c r="M58" s="12">
        <v>6011019</v>
      </c>
      <c r="N58" s="14"/>
      <c r="O58" s="32" t="s">
        <v>119</v>
      </c>
      <c r="P58" s="2">
        <v>398078</v>
      </c>
      <c r="Q58" s="13">
        <v>653626</v>
      </c>
    </row>
    <row r="59" spans="1:27">
      <c r="A59" s="1" t="s">
        <v>120</v>
      </c>
      <c r="B59" s="7">
        <v>56569</v>
      </c>
      <c r="C59" s="7">
        <v>96850</v>
      </c>
      <c r="D59" s="7">
        <v>147718</v>
      </c>
      <c r="E59" s="7">
        <v>178698</v>
      </c>
      <c r="F59" s="7">
        <v>221693</v>
      </c>
      <c r="G59" s="7">
        <v>256236</v>
      </c>
      <c r="H59" s="7">
        <v>295141</v>
      </c>
      <c r="I59" s="7">
        <v>331145</v>
      </c>
      <c r="J59" s="7">
        <v>364176</v>
      </c>
      <c r="K59" s="7">
        <v>395357</v>
      </c>
      <c r="L59" s="7">
        <v>421074</v>
      </c>
      <c r="M59" s="12">
        <v>473315</v>
      </c>
      <c r="N59" s="14"/>
      <c r="O59" s="32" t="s">
        <v>120</v>
      </c>
      <c r="P59" s="2">
        <v>42781</v>
      </c>
      <c r="Q59" s="2">
        <v>80263</v>
      </c>
    </row>
    <row r="60" spans="1:27">
      <c r="A60" s="1" t="s">
        <v>121</v>
      </c>
      <c r="B60" s="7">
        <v>111304</v>
      </c>
      <c r="C60" s="7">
        <v>221655</v>
      </c>
      <c r="D60" s="7">
        <v>292295</v>
      </c>
      <c r="E60" s="7">
        <v>210834</v>
      </c>
      <c r="F60" s="7">
        <v>360608</v>
      </c>
      <c r="G60" s="7">
        <v>431901</v>
      </c>
      <c r="H60" s="7">
        <v>520037</v>
      </c>
      <c r="I60" s="7">
        <v>632802</v>
      </c>
      <c r="J60" s="7">
        <v>729247</v>
      </c>
      <c r="K60" s="7">
        <v>804590</v>
      </c>
      <c r="L60" s="7">
        <v>893875</v>
      </c>
      <c r="M60" s="12">
        <v>993723</v>
      </c>
      <c r="N60" s="14"/>
      <c r="O60" s="32" t="s">
        <v>121</v>
      </c>
      <c r="P60" s="2">
        <v>74225</v>
      </c>
      <c r="Q60" s="2">
        <v>155597</v>
      </c>
    </row>
    <row r="61" spans="1:27">
      <c r="A61" s="1" t="s">
        <v>122</v>
      </c>
      <c r="B61" s="7">
        <v>177.596</v>
      </c>
      <c r="C61" s="3">
        <v>267.317</v>
      </c>
      <c r="D61" s="3">
        <v>341.082</v>
      </c>
      <c r="E61" s="3">
        <v>382.978</v>
      </c>
      <c r="F61" s="3">
        <v>444.968</v>
      </c>
      <c r="G61" s="3">
        <v>514.454</v>
      </c>
      <c r="H61" s="3">
        <v>555.147</v>
      </c>
      <c r="I61" s="3">
        <v>605.284</v>
      </c>
      <c r="J61" s="3">
        <v>658.361</v>
      </c>
      <c r="K61" s="3">
        <v>704.928</v>
      </c>
      <c r="L61" s="3">
        <v>744.079</v>
      </c>
      <c r="M61" s="12">
        <v>786718</v>
      </c>
      <c r="N61" s="14"/>
      <c r="O61" s="32" t="s">
        <v>122</v>
      </c>
      <c r="P61" s="2">
        <v>188977</v>
      </c>
      <c r="Q61">
        <v>295.593</v>
      </c>
    </row>
    <row r="62" spans="1:27">
      <c r="A62" s="1" t="s">
        <v>132</v>
      </c>
      <c r="B62" s="7">
        <v>46.356</v>
      </c>
      <c r="C62" s="3">
        <v>117.355</v>
      </c>
      <c r="D62" s="3">
        <v>164.199</v>
      </c>
      <c r="E62" s="3">
        <v>187.682</v>
      </c>
      <c r="F62" s="7">
        <v>219770</v>
      </c>
      <c r="G62" s="3">
        <v>264.57</v>
      </c>
      <c r="H62" s="3">
        <v>375.897</v>
      </c>
      <c r="I62" s="3">
        <v>464.084</v>
      </c>
      <c r="J62" s="3">
        <v>513.037</v>
      </c>
      <c r="K62" s="3">
        <v>554.766</v>
      </c>
      <c r="L62" s="3">
        <v>593.427</v>
      </c>
      <c r="M62" s="12">
        <v>636480</v>
      </c>
      <c r="N62" s="14"/>
      <c r="O62" s="32" t="s">
        <v>132</v>
      </c>
      <c r="P62" s="2">
        <v>48901</v>
      </c>
      <c r="Q62" s="2">
        <v>86976</v>
      </c>
    </row>
    <row r="63" spans="1:27">
      <c r="A63" s="1" t="s">
        <v>142</v>
      </c>
      <c r="B63" s="7">
        <v>232517</v>
      </c>
      <c r="C63" s="7">
        <v>307201.49</v>
      </c>
      <c r="D63" s="7">
        <v>422255.59</v>
      </c>
      <c r="E63" s="7">
        <v>547230.41</v>
      </c>
      <c r="F63" s="7">
        <v>588448</v>
      </c>
      <c r="G63" s="7">
        <v>691005</v>
      </c>
      <c r="H63" s="7">
        <v>878773</v>
      </c>
      <c r="I63" s="7">
        <v>913062</v>
      </c>
      <c r="J63" s="7">
        <v>1042035</v>
      </c>
      <c r="K63" s="7">
        <v>1093623</v>
      </c>
      <c r="L63" s="7">
        <v>1143669</v>
      </c>
      <c r="M63" s="12">
        <v>1277241</v>
      </c>
      <c r="N63" s="14"/>
      <c r="O63" s="32" t="s">
        <v>142</v>
      </c>
      <c r="P63" s="2">
        <v>219554</v>
      </c>
      <c r="Q63" s="2">
        <v>383549</v>
      </c>
    </row>
    <row r="64" spans="1:27">
      <c r="A64" s="1" t="s">
        <v>143</v>
      </c>
      <c r="B64" s="7">
        <v>11242.57</v>
      </c>
      <c r="C64" s="7">
        <v>74962.29</v>
      </c>
      <c r="D64" s="7">
        <v>119588.36</v>
      </c>
      <c r="E64" s="7">
        <v>134530.3</v>
      </c>
      <c r="F64" s="7">
        <v>144970.98</v>
      </c>
      <c r="G64" s="7">
        <v>175347.54</v>
      </c>
      <c r="H64" s="7">
        <v>198910.89</v>
      </c>
      <c r="I64" s="7">
        <v>207985.49</v>
      </c>
      <c r="J64" s="7">
        <v>215395.79</v>
      </c>
      <c r="K64" s="7">
        <v>233890.65</v>
      </c>
      <c r="L64" s="7">
        <v>253991.39</v>
      </c>
      <c r="M64" s="12">
        <v>299384.92</v>
      </c>
      <c r="N64" s="14"/>
      <c r="O64" s="32" t="s">
        <v>143</v>
      </c>
      <c r="P64" s="2">
        <v>11252.45</v>
      </c>
      <c r="Q64" s="2">
        <v>77049.02</v>
      </c>
    </row>
    <row r="65" spans="1:27">
      <c r="A65" s="1" t="s">
        <v>144</v>
      </c>
      <c r="B65" s="7">
        <v>117854</v>
      </c>
      <c r="C65" s="7">
        <v>175177</v>
      </c>
      <c r="D65" s="7">
        <v>289725</v>
      </c>
      <c r="E65" s="7">
        <v>357689</v>
      </c>
      <c r="F65" s="7">
        <v>424170</v>
      </c>
      <c r="G65" s="7">
        <v>514434</v>
      </c>
      <c r="H65" s="7">
        <v>607977</v>
      </c>
      <c r="I65" s="7">
        <v>705462</v>
      </c>
      <c r="J65" s="7">
        <v>778233</v>
      </c>
      <c r="K65" s="7">
        <v>873433</v>
      </c>
      <c r="L65" s="7">
        <v>947339</v>
      </c>
      <c r="M65" s="12">
        <v>1040261</v>
      </c>
      <c r="N65" s="14"/>
      <c r="O65" s="32" t="s">
        <v>144</v>
      </c>
      <c r="P65" s="2">
        <v>125847</v>
      </c>
      <c r="Q65" s="2">
        <v>205258</v>
      </c>
    </row>
    <row r="66" spans="1:27">
      <c r="A66" s="1" t="s">
        <v>145</v>
      </c>
      <c r="B66" s="7">
        <v>27174</v>
      </c>
      <c r="C66" s="7">
        <v>50856</v>
      </c>
      <c r="D66" s="7">
        <v>90455</v>
      </c>
      <c r="E66" s="7">
        <v>132149</v>
      </c>
      <c r="F66" s="7">
        <v>166005</v>
      </c>
      <c r="G66" s="7">
        <v>191742</v>
      </c>
      <c r="H66" s="7">
        <v>222260</v>
      </c>
      <c r="I66" s="7">
        <v>245758</v>
      </c>
      <c r="J66" s="7">
        <v>265089</v>
      </c>
      <c r="K66" s="7">
        <v>275755</v>
      </c>
      <c r="L66" s="7">
        <v>338184</v>
      </c>
      <c r="M66" s="12">
        <v>353920</v>
      </c>
      <c r="N66" s="14"/>
      <c r="O66" s="32" t="s">
        <v>145</v>
      </c>
      <c r="P66" s="2">
        <v>22451</v>
      </c>
      <c r="Q66" s="2">
        <v>42317</v>
      </c>
    </row>
    <row r="67" spans="1:27">
      <c r="A67" s="1" t="s">
        <v>146</v>
      </c>
      <c r="B67" s="7">
        <v>53009</v>
      </c>
      <c r="C67" s="7">
        <v>131629</v>
      </c>
      <c r="D67" s="7">
        <v>225419</v>
      </c>
      <c r="E67" s="7">
        <v>270572</v>
      </c>
      <c r="F67" s="7">
        <v>333043</v>
      </c>
      <c r="G67" s="7">
        <v>412102</v>
      </c>
      <c r="H67" s="7">
        <v>505509</v>
      </c>
      <c r="I67" s="7">
        <v>549430</v>
      </c>
      <c r="J67" s="7">
        <v>596827</v>
      </c>
      <c r="K67" s="7">
        <v>635469</v>
      </c>
      <c r="L67" s="7">
        <v>688417</v>
      </c>
      <c r="M67" s="12">
        <v>799408</v>
      </c>
      <c r="N67" s="14"/>
      <c r="O67" s="32" t="s">
        <v>146</v>
      </c>
      <c r="P67" s="2">
        <v>43382</v>
      </c>
      <c r="Q67" s="2">
        <v>100909</v>
      </c>
    </row>
    <row r="68" spans="1:27">
      <c r="A68" s="1" t="s">
        <v>147</v>
      </c>
      <c r="B68" s="7">
        <v>267911</v>
      </c>
      <c r="C68" s="7">
        <v>327447</v>
      </c>
      <c r="D68" s="7">
        <v>466526</v>
      </c>
      <c r="E68" s="7">
        <v>713289</v>
      </c>
      <c r="F68" s="7">
        <v>801555</v>
      </c>
      <c r="G68" s="7">
        <v>1037155</v>
      </c>
      <c r="H68" s="7">
        <v>1495542</v>
      </c>
      <c r="I68" s="7">
        <v>1583575</v>
      </c>
      <c r="J68" s="7">
        <v>1815813</v>
      </c>
      <c r="K68" s="7">
        <v>1949692</v>
      </c>
      <c r="L68" s="7">
        <v>2286212</v>
      </c>
      <c r="M68" s="12">
        <v>2516535</v>
      </c>
      <c r="N68" s="14"/>
      <c r="O68" s="32" t="s">
        <v>147</v>
      </c>
      <c r="P68" s="2">
        <v>315845</v>
      </c>
      <c r="Q68" s="2">
        <v>388721</v>
      </c>
    </row>
    <row r="69" spans="1:27">
      <c r="A69" s="1" t="s">
        <v>148</v>
      </c>
      <c r="B69" s="7">
        <v>339247</v>
      </c>
      <c r="C69" s="7">
        <v>505822</v>
      </c>
      <c r="D69" s="7">
        <v>650725</v>
      </c>
      <c r="E69" s="7">
        <v>806852</v>
      </c>
      <c r="F69" s="7">
        <v>930529</v>
      </c>
      <c r="G69" s="7">
        <v>1087006</v>
      </c>
      <c r="H69" s="7">
        <v>1216962</v>
      </c>
      <c r="I69" s="7">
        <v>1370620</v>
      </c>
      <c r="J69" s="7">
        <v>1517312</v>
      </c>
      <c r="K69" s="7">
        <v>1695933</v>
      </c>
      <c r="L69" s="7">
        <v>1955134</v>
      </c>
      <c r="M69" s="12">
        <v>2157408</v>
      </c>
      <c r="N69" s="14"/>
      <c r="O69" s="32" t="s">
        <v>148</v>
      </c>
      <c r="P69" s="2">
        <v>210406</v>
      </c>
      <c r="Q69" s="2">
        <v>381491</v>
      </c>
    </row>
    <row r="70" spans="1:27">
      <c r="A70" s="1" t="s">
        <v>149</v>
      </c>
      <c r="B70" s="7">
        <v>108770</v>
      </c>
      <c r="C70" s="7">
        <v>180869</v>
      </c>
      <c r="D70" s="7">
        <v>249698</v>
      </c>
      <c r="E70" s="7">
        <v>302519</v>
      </c>
      <c r="F70" s="7">
        <v>353209</v>
      </c>
      <c r="G70" s="7">
        <v>410151</v>
      </c>
      <c r="H70" s="7">
        <v>470376</v>
      </c>
      <c r="I70" s="7">
        <v>570908</v>
      </c>
      <c r="J70" s="7">
        <v>624856</v>
      </c>
      <c r="K70" s="7">
        <v>703771</v>
      </c>
      <c r="L70" s="7">
        <v>750164</v>
      </c>
      <c r="M70" s="4">
        <v>873.487</v>
      </c>
      <c r="N70" s="14"/>
      <c r="O70" s="32" t="s">
        <v>149</v>
      </c>
      <c r="P70">
        <v>130.869</v>
      </c>
      <c r="Q70" s="2">
        <v>214290</v>
      </c>
    </row>
    <row r="71" spans="1:27">
      <c r="A71" s="1" t="s">
        <v>150</v>
      </c>
      <c r="B71" s="7">
        <v>23700</v>
      </c>
      <c r="C71" s="7">
        <v>58964</v>
      </c>
      <c r="D71" s="7">
        <v>99442</v>
      </c>
      <c r="E71" s="7">
        <v>121196</v>
      </c>
      <c r="F71" s="7">
        <v>149709</v>
      </c>
      <c r="G71" s="7">
        <v>187705</v>
      </c>
      <c r="H71" s="7">
        <v>248631</v>
      </c>
      <c r="I71" s="7">
        <v>273730</v>
      </c>
      <c r="J71" s="7">
        <v>368096</v>
      </c>
      <c r="K71" s="7">
        <v>414170</v>
      </c>
      <c r="L71" s="7">
        <v>438751</v>
      </c>
      <c r="M71" s="12">
        <v>487558</v>
      </c>
      <c r="N71" s="14"/>
      <c r="O71" s="32" t="s">
        <v>150</v>
      </c>
      <c r="P71" s="2">
        <v>24246</v>
      </c>
      <c r="Q71" s="2">
        <v>37076</v>
      </c>
    </row>
    <row r="72" spans="1:27">
      <c r="A72" s="1" t="s">
        <v>151</v>
      </c>
      <c r="B72" s="7">
        <v>94745</v>
      </c>
      <c r="C72" s="7">
        <v>232013</v>
      </c>
      <c r="D72" s="7">
        <v>323916</v>
      </c>
      <c r="E72" s="7">
        <v>536983</v>
      </c>
      <c r="F72" s="7">
        <v>649912</v>
      </c>
      <c r="G72" s="7">
        <v>768689</v>
      </c>
      <c r="H72" s="7">
        <v>898633</v>
      </c>
      <c r="I72" s="7">
        <v>986095</v>
      </c>
      <c r="J72" s="7">
        <v>1328962</v>
      </c>
      <c r="K72" s="7">
        <v>1460267</v>
      </c>
      <c r="L72" s="7">
        <v>1554681</v>
      </c>
      <c r="M72" s="12">
        <v>1899842</v>
      </c>
      <c r="N72" s="14"/>
      <c r="O72" s="32" t="s">
        <v>151</v>
      </c>
      <c r="P72" s="2">
        <v>114940</v>
      </c>
      <c r="Q72" s="2">
        <v>245640</v>
      </c>
    </row>
    <row r="73" spans="1:27">
      <c r="A73" s="1" t="s">
        <v>152</v>
      </c>
      <c r="B73" s="7">
        <v>84376</v>
      </c>
      <c r="C73" s="7">
        <v>138920</v>
      </c>
      <c r="D73" s="7">
        <v>200964</v>
      </c>
      <c r="E73" s="7">
        <v>312972</v>
      </c>
      <c r="F73" s="7">
        <v>369164</v>
      </c>
      <c r="G73" s="7">
        <v>456678</v>
      </c>
      <c r="H73" s="7">
        <v>520211</v>
      </c>
      <c r="I73" s="7">
        <v>581607</v>
      </c>
      <c r="J73" s="7">
        <v>641834</v>
      </c>
      <c r="K73" s="7">
        <v>706243</v>
      </c>
      <c r="L73" s="7">
        <v>776662</v>
      </c>
      <c r="M73" s="12">
        <v>865872.41</v>
      </c>
      <c r="N73" s="14"/>
      <c r="O73" s="32" t="s">
        <v>152</v>
      </c>
      <c r="P73" s="2">
        <v>181941.26</v>
      </c>
      <c r="Q73" s="2">
        <v>321261.35</v>
      </c>
    </row>
    <row r="74" spans="1:27">
      <c r="A74" s="1" t="s">
        <v>153</v>
      </c>
      <c r="B74" s="7">
        <v>107938</v>
      </c>
      <c r="C74" s="7">
        <v>286059</v>
      </c>
      <c r="D74" s="7">
        <v>359941</v>
      </c>
      <c r="E74" s="7">
        <v>391635</v>
      </c>
      <c r="F74" s="7">
        <v>434128</v>
      </c>
      <c r="G74" s="7">
        <v>470680</v>
      </c>
      <c r="H74" s="7">
        <v>516352</v>
      </c>
      <c r="I74" s="7">
        <v>572089</v>
      </c>
      <c r="J74" s="7">
        <v>604448</v>
      </c>
      <c r="K74" s="7">
        <v>658742</v>
      </c>
      <c r="L74" s="7">
        <v>689348</v>
      </c>
      <c r="M74" s="12">
        <v>717545</v>
      </c>
      <c r="N74" s="14"/>
      <c r="O74" s="32" t="s">
        <v>153</v>
      </c>
      <c r="P74" s="2">
        <v>143868</v>
      </c>
      <c r="Q74" s="2">
        <v>187891</v>
      </c>
    </row>
    <row r="75" spans="1:27">
      <c r="A75" s="1" t="s">
        <v>154</v>
      </c>
      <c r="B75" s="7">
        <v>448370</v>
      </c>
      <c r="C75" s="7">
        <v>699077</v>
      </c>
      <c r="D75" s="7">
        <v>1287644</v>
      </c>
      <c r="E75" s="7">
        <v>1504721</v>
      </c>
      <c r="F75" s="7">
        <v>1785931</v>
      </c>
      <c r="G75" s="7">
        <v>2016316</v>
      </c>
      <c r="H75" s="7">
        <v>2323088</v>
      </c>
      <c r="I75" s="7">
        <v>2572382</v>
      </c>
      <c r="J75" s="7">
        <v>2820951</v>
      </c>
      <c r="K75" s="7">
        <v>3098038</v>
      </c>
      <c r="L75" s="7">
        <v>3374227</v>
      </c>
      <c r="M75" s="12">
        <v>3755446</v>
      </c>
      <c r="N75" s="14"/>
      <c r="O75" s="32" t="s">
        <v>154</v>
      </c>
      <c r="P75" s="2">
        <v>772602</v>
      </c>
      <c r="Q75" s="13">
        <v>1042325</v>
      </c>
    </row>
    <row r="76" spans="1:27">
      <c r="A76" s="8" t="s">
        <v>459</v>
      </c>
      <c r="B76" s="3">
        <f>sum(B3:B75)</f>
        <v>8017383.637</v>
      </c>
      <c r="C76" s="3">
        <f>sum(C3:C75)</f>
        <v>14090026.514</v>
      </c>
      <c r="D76" s="3">
        <f>sum(D3:D75)</f>
        <v>21871550.583</v>
      </c>
      <c r="E76" s="3">
        <f>sum(E3:E75)</f>
        <v>26671956.104</v>
      </c>
      <c r="F76" s="3">
        <f>sum(F3:F75)</f>
        <v>31187877.318</v>
      </c>
      <c r="G76" s="3">
        <f>sum(G3:G75)</f>
        <v>37307731.247</v>
      </c>
      <c r="H76" s="3">
        <f>sum(H3:H75)</f>
        <v>45200220.787</v>
      </c>
      <c r="I76" s="3">
        <f>sum(I3:I75)</f>
        <v>55433004.364</v>
      </c>
      <c r="J76" s="3">
        <f>sum(J3:J75)</f>
        <v>59946139.739</v>
      </c>
      <c r="K76" s="3">
        <f>sum(K3:K75)</f>
        <v>70539501.694</v>
      </c>
      <c r="L76" s="3">
        <f>sum(L3:L75)</f>
        <v>72479355.889</v>
      </c>
      <c r="M76" s="12">
        <f>SUM(M4:M75)</f>
        <v>99029066.356</v>
      </c>
      <c r="N76" s="14"/>
      <c r="O76" s="33" t="s">
        <v>459</v>
      </c>
      <c r="P76" s="21">
        <f>sum(P75:P3)</f>
        <v>11986058.956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>
      <c r="A77" s="23" t="s">
        <v>460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6"/>
      <c r="N77" s="14"/>
      <c r="O77" s="38" t="s">
        <v>156</v>
      </c>
      <c r="P77" s="44"/>
    </row>
    <row r="78" spans="1:27">
      <c r="A78" s="1" t="s">
        <v>157</v>
      </c>
      <c r="B78" s="7">
        <v>451716</v>
      </c>
      <c r="C78" s="7">
        <v>1033818</v>
      </c>
      <c r="D78" s="7">
        <v>1498329</v>
      </c>
      <c r="E78" s="7">
        <v>1873951</v>
      </c>
      <c r="F78" s="2">
        <v>2456883</v>
      </c>
      <c r="G78" s="7">
        <v>2978031</v>
      </c>
      <c r="H78" s="7">
        <v>3458988</v>
      </c>
      <c r="I78" s="7">
        <v>3755632</v>
      </c>
      <c r="J78" s="7">
        <v>4141468</v>
      </c>
      <c r="K78" s="2">
        <v>4565592</v>
      </c>
      <c r="L78" s="2">
        <v>5081860</v>
      </c>
      <c r="M78" s="2">
        <v>5655179</v>
      </c>
      <c r="N78" s="14"/>
      <c r="O78" s="32" t="s">
        <v>157</v>
      </c>
      <c r="P78" s="2">
        <v>388451</v>
      </c>
      <c r="Q78" s="2">
        <v>742314</v>
      </c>
    </row>
    <row r="79" spans="1:27">
      <c r="A79" s="1" t="s">
        <v>170</v>
      </c>
      <c r="B79" s="7">
        <v>143190</v>
      </c>
      <c r="C79" s="7">
        <v>464246</v>
      </c>
      <c r="D79" s="7">
        <v>824044</v>
      </c>
      <c r="E79" s="7">
        <v>1095407</v>
      </c>
      <c r="F79" s="7">
        <v>1389155</v>
      </c>
      <c r="G79" s="7">
        <v>1720543</v>
      </c>
      <c r="H79" s="7">
        <v>2056315</v>
      </c>
      <c r="I79" s="7">
        <v>2413428</v>
      </c>
      <c r="J79" s="7">
        <v>2782754</v>
      </c>
      <c r="K79" s="2">
        <v>3099134</v>
      </c>
      <c r="L79" s="2">
        <v>3357098</v>
      </c>
      <c r="M79" s="2">
        <v>3597896</v>
      </c>
      <c r="N79" s="14"/>
      <c r="O79" s="32" t="s">
        <v>170</v>
      </c>
      <c r="P79" s="2">
        <v>212437</v>
      </c>
      <c r="Q79" s="2">
        <v>391716</v>
      </c>
    </row>
    <row r="80" spans="1:27">
      <c r="A80" s="1" t="s">
        <v>183</v>
      </c>
      <c r="B80" s="7">
        <v>410915</v>
      </c>
      <c r="C80" s="7">
        <v>1077069</v>
      </c>
      <c r="D80" s="7">
        <v>1214480</v>
      </c>
      <c r="E80" s="7">
        <v>1246050</v>
      </c>
      <c r="F80" s="7">
        <v>1195995</v>
      </c>
      <c r="G80" s="7">
        <v>1625759</v>
      </c>
      <c r="H80" s="7">
        <v>1768587</v>
      </c>
      <c r="I80" s="7">
        <v>2202928</v>
      </c>
      <c r="J80" s="7">
        <v>2441788</v>
      </c>
      <c r="K80" s="2">
        <v>2812338</v>
      </c>
      <c r="L80" s="2">
        <v>2837655</v>
      </c>
      <c r="M80" s="2">
        <v>3417995</v>
      </c>
      <c r="N80" s="14"/>
      <c r="O80" s="32" t="s">
        <v>183</v>
      </c>
      <c r="P80" s="2">
        <v>120301</v>
      </c>
      <c r="Q80" s="2">
        <v>173476</v>
      </c>
    </row>
    <row r="81" spans="1:27">
      <c r="A81" s="1" t="s">
        <v>196</v>
      </c>
      <c r="B81" s="7">
        <v>438402</v>
      </c>
      <c r="C81" s="7">
        <v>624256</v>
      </c>
      <c r="D81" s="7">
        <v>1055207</v>
      </c>
      <c r="E81" s="7">
        <v>1262767</v>
      </c>
      <c r="F81" s="7">
        <v>1685730</v>
      </c>
      <c r="G81" s="7">
        <v>2102947</v>
      </c>
      <c r="H81" s="7">
        <v>2310680</v>
      </c>
      <c r="I81" s="7">
        <v>2506724</v>
      </c>
      <c r="J81" s="7">
        <v>2757300</v>
      </c>
      <c r="K81" s="2">
        <v>2900222</v>
      </c>
      <c r="L81" s="2">
        <v>3197938</v>
      </c>
      <c r="M81" s="2">
        <v>3509043</v>
      </c>
      <c r="N81" s="14"/>
      <c r="O81" s="32" t="s">
        <v>196</v>
      </c>
      <c r="P81" s="2">
        <v>415708</v>
      </c>
      <c r="Q81" s="2">
        <v>477908</v>
      </c>
    </row>
    <row r="82" spans="1:27">
      <c r="A82" s="1" t="s">
        <v>209</v>
      </c>
      <c r="B82" s="7">
        <v>2231</v>
      </c>
      <c r="C82" s="7">
        <v>30364</v>
      </c>
      <c r="D82" s="7">
        <v>65945</v>
      </c>
      <c r="E82" s="7">
        <v>100172</v>
      </c>
      <c r="F82" s="7">
        <v>138163</v>
      </c>
      <c r="G82" s="7">
        <v>164028</v>
      </c>
      <c r="H82" s="7">
        <v>198173</v>
      </c>
      <c r="I82" s="7">
        <v>237458</v>
      </c>
      <c r="J82" s="7">
        <v>272282</v>
      </c>
      <c r="K82" s="2">
        <v>305083</v>
      </c>
      <c r="L82" s="2">
        <v>341936</v>
      </c>
      <c r="M82" s="2">
        <v>372180</v>
      </c>
      <c r="N82" s="14"/>
      <c r="O82" s="32" t="s">
        <v>209</v>
      </c>
      <c r="P82">
        <v>933</v>
      </c>
      <c r="Q82">
        <v>26782</v>
      </c>
    </row>
    <row r="83" spans="1:27">
      <c r="A83" s="1" t="s">
        <v>222</v>
      </c>
      <c r="B83" s="7">
        <v>1113064</v>
      </c>
      <c r="C83" s="7">
        <v>1681787</v>
      </c>
      <c r="D83" s="7">
        <v>2225449</v>
      </c>
      <c r="E83" s="7">
        <v>4517015</v>
      </c>
      <c r="F83" s="7">
        <v>4814799</v>
      </c>
      <c r="G83" s="7">
        <v>4979728</v>
      </c>
      <c r="H83" s="7">
        <v>5504624</v>
      </c>
      <c r="I83" s="7">
        <v>6054336</v>
      </c>
      <c r="J83" s="7">
        <v>6398069</v>
      </c>
      <c r="K83" s="2">
        <v>6783843</v>
      </c>
      <c r="L83" s="2">
        <v>7036611</v>
      </c>
      <c r="M83" s="2">
        <v>7369562</v>
      </c>
      <c r="N83" s="14"/>
      <c r="O83" s="32" t="s">
        <v>222</v>
      </c>
      <c r="P83" s="2">
        <v>2496976</v>
      </c>
      <c r="Q83" s="2">
        <v>3048845</v>
      </c>
    </row>
    <row r="84" spans="1:27">
      <c r="A84" s="1" t="s">
        <v>235</v>
      </c>
      <c r="B84" s="7">
        <v>85797</v>
      </c>
      <c r="C84" s="7">
        <v>177957</v>
      </c>
      <c r="D84" s="7">
        <v>257758</v>
      </c>
      <c r="E84" s="7">
        <v>344219</v>
      </c>
      <c r="F84" s="7">
        <v>433306</v>
      </c>
      <c r="G84" s="7">
        <v>856398</v>
      </c>
      <c r="H84" s="7">
        <v>922047</v>
      </c>
      <c r="I84" s="7">
        <v>991193</v>
      </c>
      <c r="J84" s="7">
        <v>1086817</v>
      </c>
      <c r="K84" s="2">
        <v>1407070</v>
      </c>
      <c r="L84" s="2">
        <v>1265183</v>
      </c>
      <c r="M84" s="2">
        <v>1327809</v>
      </c>
      <c r="N84" s="14"/>
      <c r="O84" s="32" t="s">
        <v>235</v>
      </c>
      <c r="P84" s="2">
        <v>129778</v>
      </c>
      <c r="Q84" s="2">
        <v>222355</v>
      </c>
    </row>
    <row r="85" spans="1:27">
      <c r="A85" s="1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N85" s="14"/>
      <c r="O85" s="32" t="s">
        <v>248</v>
      </c>
      <c r="P85" s="2">
        <v>12120</v>
      </c>
      <c r="Q85">
        <v>22.057</v>
      </c>
    </row>
    <row r="86" spans="1:27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N86" s="14"/>
      <c r="O86" s="33" t="s">
        <v>155</v>
      </c>
      <c r="P86" s="21">
        <f>sum(P85:P78)</f>
        <v>3776704</v>
      </c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>
      <c r="A87" s="23" t="s">
        <v>461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6"/>
      <c r="N87" s="14"/>
      <c r="O87" s="38" t="s">
        <v>461</v>
      </c>
    </row>
    <row r="88" spans="1:27">
      <c r="A88" s="8" t="s">
        <v>249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N88" s="14"/>
      <c r="O88" s="32" t="s">
        <v>250</v>
      </c>
      <c r="P88" s="2">
        <v>1025645.09</v>
      </c>
      <c r="Q88" s="2">
        <v>1415155.61</v>
      </c>
    </row>
    <row r="89" spans="1:27">
      <c r="A89" s="1" t="s">
        <v>250</v>
      </c>
      <c r="B89" s="7">
        <v>142125</v>
      </c>
      <c r="C89" s="7">
        <v>233245</v>
      </c>
      <c r="D89" s="7">
        <v>363327</v>
      </c>
      <c r="E89" s="7">
        <v>474445</v>
      </c>
      <c r="F89" s="7">
        <v>575482</v>
      </c>
      <c r="G89" s="7">
        <v>676779</v>
      </c>
      <c r="H89" s="7">
        <v>783132</v>
      </c>
      <c r="I89" s="7">
        <v>882052</v>
      </c>
      <c r="J89" s="7">
        <v>1058167</v>
      </c>
      <c r="K89" s="7">
        <v>1266583</v>
      </c>
      <c r="L89" s="7">
        <v>1403185</v>
      </c>
      <c r="M89" s="12">
        <v>2069730.88</v>
      </c>
      <c r="N89" s="14"/>
      <c r="O89" s="32" t="s">
        <v>251</v>
      </c>
      <c r="P89" s="2"/>
    </row>
    <row r="90" spans="1:27" ht="15.28053114822933" customHeight="1">
      <c r="A90" s="1" t="s">
        <v>251</v>
      </c>
      <c r="B90" s="7">
        <v>17401</v>
      </c>
      <c r="C90" s="7">
        <v>29012</v>
      </c>
      <c r="D90" s="7">
        <v>32976</v>
      </c>
      <c r="E90" s="7">
        <v>66699</v>
      </c>
      <c r="F90" s="7">
        <v>82043</v>
      </c>
      <c r="G90" s="7">
        <v>98344</v>
      </c>
      <c r="H90" s="7">
        <v>118255</v>
      </c>
      <c r="I90" s="7">
        <v>136849</v>
      </c>
      <c r="J90" s="7">
        <v>156083</v>
      </c>
      <c r="K90" s="7">
        <v>173986</v>
      </c>
      <c r="L90" s="7">
        <v>186250</v>
      </c>
      <c r="M90" s="12">
        <v>192276</v>
      </c>
      <c r="N90" s="14"/>
      <c r="O90" s="32" t="s">
        <v>252</v>
      </c>
      <c r="P90" s="2">
        <v>287475</v>
      </c>
      <c r="Q90" s="2">
        <v>416857</v>
      </c>
    </row>
    <row r="91" spans="1:27" ht="15.311216277490075" customHeight="1">
      <c r="A91" s="1" t="s">
        <v>252</v>
      </c>
      <c r="B91" s="7">
        <v>214556</v>
      </c>
      <c r="C91" s="7">
        <v>351514</v>
      </c>
      <c r="D91" s="7">
        <v>462626</v>
      </c>
      <c r="E91" s="7">
        <v>597713</v>
      </c>
      <c r="F91" s="7">
        <v>688317</v>
      </c>
      <c r="G91" s="7">
        <v>800387</v>
      </c>
      <c r="H91" s="7">
        <v>974249</v>
      </c>
      <c r="I91" s="7">
        <v>1120970</v>
      </c>
      <c r="J91" s="7">
        <v>1254258</v>
      </c>
      <c r="K91" s="7">
        <v>1417578</v>
      </c>
      <c r="L91" s="7">
        <v>1515336</v>
      </c>
      <c r="M91" s="12">
        <v>1846994</v>
      </c>
      <c r="N91" s="14"/>
      <c r="O91" s="32" t="s">
        <v>253</v>
      </c>
      <c r="P91" s="2">
        <v>103361</v>
      </c>
    </row>
    <row r="92" spans="1:27" ht="16.299011739220685" customHeight="1">
      <c r="A92" s="1" t="s">
        <v>253</v>
      </c>
      <c r="B92" s="7">
        <v>74106</v>
      </c>
      <c r="C92" s="7">
        <v>116784</v>
      </c>
      <c r="D92" s="7">
        <v>194857</v>
      </c>
      <c r="E92" s="7">
        <v>257376</v>
      </c>
      <c r="F92" s="7">
        <v>319048</v>
      </c>
      <c r="G92" s="7">
        <v>360124</v>
      </c>
      <c r="H92" s="7">
        <v>411865</v>
      </c>
      <c r="I92" s="7"/>
      <c r="J92" s="7">
        <v>548591</v>
      </c>
      <c r="K92" s="7">
        <v>612599</v>
      </c>
      <c r="L92" s="7">
        <v>664523</v>
      </c>
      <c r="M92" s="12">
        <v>758036</v>
      </c>
      <c r="N92" s="14"/>
      <c r="O92" s="32" t="s">
        <v>254</v>
      </c>
      <c r="P92" s="2">
        <v>56591</v>
      </c>
      <c r="Q92" s="2">
        <v>117525</v>
      </c>
    </row>
    <row r="93" spans="1:27" ht="14.817298198168677" customHeight="1">
      <c r="A93" s="1" t="s">
        <v>254</v>
      </c>
      <c r="B93" s="7">
        <v>58083</v>
      </c>
      <c r="C93" s="7">
        <v>107180</v>
      </c>
      <c r="D93" s="7">
        <v>161557</v>
      </c>
      <c r="E93" s="7">
        <v>190402</v>
      </c>
      <c r="F93" s="7">
        <v>223487</v>
      </c>
      <c r="G93" s="7">
        <v>264740</v>
      </c>
      <c r="H93" s="7">
        <v>319224</v>
      </c>
      <c r="I93" s="7">
        <v>381376</v>
      </c>
      <c r="J93" s="7">
        <v>427240</v>
      </c>
      <c r="K93" s="7">
        <v>486000</v>
      </c>
      <c r="L93" s="7">
        <v>541956</v>
      </c>
      <c r="M93" s="12">
        <v>606993</v>
      </c>
      <c r="N93" s="14"/>
      <c r="O93" s="32" t="s">
        <v>255</v>
      </c>
      <c r="P93" s="2">
        <v>1201012</v>
      </c>
      <c r="Q93" s="2">
        <v>2186733</v>
      </c>
    </row>
    <row r="94" spans="1:27" ht="15.805114008355304" customHeight="1">
      <c r="A94" s="1" t="s">
        <v>255</v>
      </c>
      <c r="B94" s="7">
        <v>1086081</v>
      </c>
      <c r="C94" s="7">
        <v>2180885</v>
      </c>
      <c r="D94" s="7">
        <v>3136481</v>
      </c>
      <c r="E94" s="7">
        <v>3888456</v>
      </c>
      <c r="F94" s="7">
        <v>4827444</v>
      </c>
      <c r="G94" s="7">
        <v>5829124</v>
      </c>
      <c r="H94" s="7">
        <v>7063751</v>
      </c>
      <c r="I94" s="7">
        <v>8250598</v>
      </c>
      <c r="J94" s="7">
        <v>9999658</v>
      </c>
      <c r="K94" s="7">
        <v>11002797</v>
      </c>
      <c r="L94" s="7">
        <v>12248985</v>
      </c>
      <c r="M94" s="12">
        <v>13425536</v>
      </c>
      <c r="N94" s="14"/>
      <c r="O94" s="32" t="s">
        <v>256</v>
      </c>
      <c r="P94" s="2">
        <v>889819</v>
      </c>
      <c r="Q94" s="2">
        <v>1138632</v>
      </c>
    </row>
    <row r="95" spans="1:27" ht="14.817298198168677" customHeight="1">
      <c r="A95" s="1" t="s">
        <v>256</v>
      </c>
      <c r="B95" s="7">
        <v>1072940</v>
      </c>
      <c r="C95" s="7">
        <v>1330670</v>
      </c>
      <c r="D95" s="7">
        <v>1699431</v>
      </c>
      <c r="E95" s="7">
        <v>2790347</v>
      </c>
      <c r="F95" s="7">
        <v>2934829</v>
      </c>
      <c r="G95" s="7">
        <v>3167627</v>
      </c>
      <c r="H95" s="7">
        <v>3659559</v>
      </c>
      <c r="I95" s="7">
        <v>3924427</v>
      </c>
      <c r="J95" s="7">
        <v>4107706</v>
      </c>
      <c r="K95" s="7">
        <v>4405103</v>
      </c>
      <c r="L95" s="7">
        <v>4579369</v>
      </c>
      <c r="M95" s="12">
        <v>4706020</v>
      </c>
      <c r="N95" s="14"/>
      <c r="O95" s="32" t="s">
        <v>257</v>
      </c>
      <c r="P95" s="2">
        <v>53274</v>
      </c>
      <c r="Q95" s="2">
        <v>81740</v>
      </c>
    </row>
    <row r="96" spans="1:27" ht="16.299032087676853" customHeight="1">
      <c r="A96" s="1" t="s">
        <v>257</v>
      </c>
      <c r="B96" s="7">
        <v>53274</v>
      </c>
      <c r="C96" s="7">
        <v>107715</v>
      </c>
      <c r="D96" s="7">
        <v>140235</v>
      </c>
      <c r="E96" s="7">
        <v>176436</v>
      </c>
      <c r="F96" s="7">
        <v>225983</v>
      </c>
      <c r="G96" s="7">
        <v>262716</v>
      </c>
      <c r="H96" s="7">
        <v>309284</v>
      </c>
      <c r="I96" s="7">
        <v>342752</v>
      </c>
      <c r="J96" s="7">
        <v>378714</v>
      </c>
      <c r="K96" s="7">
        <v>402929</v>
      </c>
      <c r="L96" s="7">
        <v>423823</v>
      </c>
      <c r="M96" s="12">
        <v>469286</v>
      </c>
      <c r="N96" s="14"/>
      <c r="O96" s="32" t="s">
        <v>258</v>
      </c>
      <c r="P96" s="2">
        <v>340521</v>
      </c>
      <c r="Q96" s="2">
        <v>821292</v>
      </c>
    </row>
    <row r="97" spans="1:27" ht="15.291377931565117" customHeight="1">
      <c r="A97" s="1" t="s">
        <v>258</v>
      </c>
      <c r="B97" s="7">
        <v>397403</v>
      </c>
      <c r="C97" s="7">
        <v>762910</v>
      </c>
      <c r="D97" s="7">
        <v>1076359</v>
      </c>
      <c r="E97" s="7">
        <v>1285820</v>
      </c>
      <c r="F97" s="7">
        <v>1533608</v>
      </c>
      <c r="G97" s="7">
        <v>1848733</v>
      </c>
      <c r="H97" s="7">
        <v>2233483</v>
      </c>
      <c r="I97" s="7">
        <v>2680892</v>
      </c>
      <c r="J97" s="7">
        <v>3363559</v>
      </c>
      <c r="K97" s="7">
        <v>3921617</v>
      </c>
      <c r="L97" s="7">
        <v>4628457</v>
      </c>
      <c r="M97" s="12">
        <v>5608710</v>
      </c>
      <c r="N97" s="14"/>
      <c r="O97" s="32" t="s">
        <v>259</v>
      </c>
      <c r="P97" s="2">
        <v>87876</v>
      </c>
      <c r="Q97" s="2">
        <v>200270</v>
      </c>
    </row>
    <row r="98" spans="1:27" ht="16.299011739220685" customHeight="1">
      <c r="A98" s="1" t="s">
        <v>259</v>
      </c>
      <c r="B98" s="7">
        <v>64445</v>
      </c>
      <c r="C98" s="7">
        <v>149178</v>
      </c>
      <c r="D98" s="7">
        <v>231866</v>
      </c>
      <c r="E98" s="7">
        <v>301193</v>
      </c>
      <c r="F98" s="7">
        <v>374134</v>
      </c>
      <c r="G98" s="7">
        <v>437516</v>
      </c>
      <c r="H98" s="7">
        <v>524138</v>
      </c>
      <c r="I98" s="7">
        <v>628205</v>
      </c>
      <c r="J98" s="7">
        <v>739611</v>
      </c>
      <c r="K98" s="7">
        <v>849647</v>
      </c>
      <c r="L98" s="7">
        <v>93466</v>
      </c>
      <c r="M98" s="12">
        <v>1021677</v>
      </c>
      <c r="N98" s="14"/>
      <c r="O98" s="32" t="s">
        <v>260</v>
      </c>
      <c r="P98" s="2">
        <v>182306</v>
      </c>
      <c r="Q98" s="2">
        <v>202715.68</v>
      </c>
    </row>
    <row r="99" spans="1:27" ht="17.286847897863485" customHeight="1">
      <c r="A99" s="1" t="s">
        <v>260</v>
      </c>
      <c r="B99" s="7">
        <v>10287664</v>
      </c>
      <c r="C99" s="7">
        <v>10270288</v>
      </c>
      <c r="D99" s="7">
        <v>10259875</v>
      </c>
      <c r="E99" s="7">
        <v>10228430</v>
      </c>
      <c r="F99" s="7">
        <v>10212845</v>
      </c>
      <c r="G99" s="7">
        <v>10204320</v>
      </c>
      <c r="H99" s="7">
        <v>11753949</v>
      </c>
      <c r="I99" s="7">
        <v>12090714</v>
      </c>
      <c r="J99" s="7">
        <v>12329651</v>
      </c>
      <c r="K99" s="7">
        <v>12340073</v>
      </c>
      <c r="L99" s="7">
        <v>11349687</v>
      </c>
      <c r="M99" s="45">
        <v>123629.2</v>
      </c>
      <c r="N99" s="14"/>
      <c r="O99" s="32" t="s">
        <v>261</v>
      </c>
      <c r="P99" s="2">
        <v>260424</v>
      </c>
      <c r="Q99" s="2">
        <v>765478</v>
      </c>
      <c r="R99" s="12"/>
    </row>
    <row r="100" spans="1:27" ht="18.274663708049957" customHeight="1">
      <c r="A100" s="15" t="s">
        <v>261</v>
      </c>
      <c r="B100" s="28">
        <v>463041</v>
      </c>
      <c r="C100" s="28">
        <v>630094</v>
      </c>
      <c r="D100" s="28">
        <v>984252</v>
      </c>
      <c r="E100" s="28">
        <v>1061670</v>
      </c>
      <c r="F100" s="28">
        <v>1212986</v>
      </c>
      <c r="G100" s="28">
        <v>1305789</v>
      </c>
      <c r="H100" s="28">
        <v>1539105</v>
      </c>
      <c r="I100" s="28">
        <v>1671699</v>
      </c>
      <c r="J100" s="28">
        <v>1877738</v>
      </c>
      <c r="K100" s="28">
        <v>2059715</v>
      </c>
      <c r="L100" s="28">
        <v>2234922</v>
      </c>
      <c r="M100" s="29">
        <v>2394392</v>
      </c>
      <c r="N100" s="41"/>
      <c r="O100" s="35" t="s">
        <v>262</v>
      </c>
      <c r="P100" s="17" t="s">
        <v>383</v>
      </c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ht="17.286847897863485" customHeight="1">
      <c r="A101" s="1" t="s">
        <v>262</v>
      </c>
      <c r="B101" s="7">
        <v>6193</v>
      </c>
      <c r="C101" s="7">
        <v>7619</v>
      </c>
      <c r="D101" s="7">
        <v>7619</v>
      </c>
      <c r="E101" s="7">
        <v>7619</v>
      </c>
      <c r="F101" s="7">
        <v>7619</v>
      </c>
      <c r="G101" s="7">
        <v>7619</v>
      </c>
      <c r="H101" s="7">
        <v>7619</v>
      </c>
      <c r="I101" s="7">
        <v>7619</v>
      </c>
      <c r="J101" s="7">
        <v>7619</v>
      </c>
      <c r="K101" s="7">
        <v>7619</v>
      </c>
      <c r="L101" s="7">
        <v>7619</v>
      </c>
      <c r="M101" s="12">
        <v>7619</v>
      </c>
      <c r="N101" s="14"/>
      <c r="O101" s="32" t="s">
        <v>263</v>
      </c>
      <c r="P101" s="2">
        <v>217696</v>
      </c>
      <c r="Q101" s="2">
        <v>375451</v>
      </c>
    </row>
    <row r="102" spans="1:27" ht="16.79292981854208" customHeight="1">
      <c r="A102" s="1" t="s">
        <v>263</v>
      </c>
      <c r="B102" s="7">
        <v>112535</v>
      </c>
      <c r="C102" s="7">
        <v>259492</v>
      </c>
      <c r="D102" s="7">
        <v>309191</v>
      </c>
      <c r="E102" s="7">
        <v>355864</v>
      </c>
      <c r="F102" s="7">
        <v>383268</v>
      </c>
      <c r="G102" s="7">
        <v>411586</v>
      </c>
      <c r="H102" s="7">
        <v>435252</v>
      </c>
      <c r="I102" s="7">
        <v>45686</v>
      </c>
      <c r="J102" s="7">
        <v>486043</v>
      </c>
      <c r="K102" s="7">
        <v>519522</v>
      </c>
      <c r="L102" s="7">
        <v>536458</v>
      </c>
      <c r="M102" s="12">
        <v>596357</v>
      </c>
      <c r="N102" s="14"/>
      <c r="O102" s="32" t="s">
        <v>264</v>
      </c>
      <c r="P102" s="2">
        <v>619598</v>
      </c>
      <c r="Q102" s="2">
        <v>796748</v>
      </c>
    </row>
    <row r="103" spans="1:27" ht="16.299011739220685" customHeight="1">
      <c r="A103" s="1" t="s">
        <v>264</v>
      </c>
      <c r="B103" s="7">
        <v>760764</v>
      </c>
      <c r="C103" s="7">
        <v>1141238</v>
      </c>
      <c r="D103" s="7">
        <v>1499065</v>
      </c>
      <c r="E103" s="7">
        <v>1794695</v>
      </c>
      <c r="F103" s="7">
        <v>2215197</v>
      </c>
      <c r="G103" s="7">
        <v>2702762</v>
      </c>
      <c r="H103" s="7">
        <v>2967600</v>
      </c>
      <c r="I103" s="7">
        <v>3126626</v>
      </c>
      <c r="J103" s="7">
        <v>3329122</v>
      </c>
      <c r="K103" s="7">
        <v>3566813</v>
      </c>
      <c r="L103" s="7">
        <v>3755935</v>
      </c>
      <c r="M103" s="12">
        <v>3968082</v>
      </c>
      <c r="N103" s="14"/>
      <c r="O103" s="32" t="s">
        <v>265</v>
      </c>
      <c r="P103" s="2">
        <v>19675</v>
      </c>
      <c r="Q103" s="2">
        <v>33882.28</v>
      </c>
    </row>
    <row r="104" spans="1:27" ht="15.784791404144626" customHeight="1">
      <c r="A104" s="1" t="s">
        <v>265</v>
      </c>
      <c r="B104" s="7">
        <v>18316</v>
      </c>
      <c r="C104" s="7">
        <v>37448</v>
      </c>
      <c r="D104" s="7">
        <v>61750</v>
      </c>
      <c r="E104" s="7">
        <v>83839</v>
      </c>
      <c r="F104" s="7">
        <v>103076</v>
      </c>
      <c r="G104" s="7">
        <v>127223</v>
      </c>
      <c r="H104" s="7">
        <v>146517</v>
      </c>
      <c r="I104" s="7">
        <v>146517</v>
      </c>
      <c r="J104" s="7">
        <v>180049</v>
      </c>
      <c r="K104" s="7">
        <v>195132</v>
      </c>
      <c r="L104" s="7">
        <v>213054</v>
      </c>
      <c r="M104" s="12">
        <v>230420</v>
      </c>
      <c r="N104" s="14"/>
      <c r="O104" s="32" t="s">
        <v>266</v>
      </c>
      <c r="P104" s="2">
        <v>2917</v>
      </c>
      <c r="Q104" s="2">
        <v>6421.9</v>
      </c>
    </row>
    <row r="105" spans="1:27" ht="15.805114008355304" customHeight="1">
      <c r="A105" s="1" t="s">
        <v>266</v>
      </c>
      <c r="B105" s="7">
        <v>2208</v>
      </c>
      <c r="C105" s="7">
        <v>4477</v>
      </c>
      <c r="D105" s="7">
        <v>7501</v>
      </c>
      <c r="E105" s="7">
        <v>9726</v>
      </c>
      <c r="F105" s="7">
        <v>11997</v>
      </c>
      <c r="G105" s="7">
        <v>16263</v>
      </c>
      <c r="H105" s="7">
        <v>18463</v>
      </c>
      <c r="I105" s="7">
        <v>21779</v>
      </c>
      <c r="J105" s="7">
        <v>31391</v>
      </c>
      <c r="K105" s="7">
        <v>36040</v>
      </c>
      <c r="L105" s="7">
        <v>39579</v>
      </c>
      <c r="M105" s="12">
        <v>42916</v>
      </c>
      <c r="N105" s="14"/>
      <c r="O105" s="32" t="s">
        <v>267</v>
      </c>
      <c r="P105" s="2">
        <v>118974</v>
      </c>
      <c r="Q105" s="2">
        <v>229939.46</v>
      </c>
    </row>
    <row r="106" spans="1:27" ht="14.32338011884743" customHeight="1">
      <c r="A106" s="1" t="s">
        <v>267</v>
      </c>
      <c r="B106" s="7">
        <v>35860949</v>
      </c>
      <c r="C106" s="7">
        <v>67498811</v>
      </c>
      <c r="D106" s="7">
        <v>95241915</v>
      </c>
      <c r="E106" s="7">
        <v>115659924</v>
      </c>
      <c r="F106" s="7">
        <v>131000436</v>
      </c>
      <c r="G106" s="7">
        <v>173374969</v>
      </c>
      <c r="H106" s="7">
        <v>199823405</v>
      </c>
      <c r="I106" s="7">
        <v>218841414</v>
      </c>
      <c r="J106" s="7">
        <v>237754131</v>
      </c>
      <c r="K106" s="7">
        <v>257993020</v>
      </c>
      <c r="L106" s="7">
        <v>283516414</v>
      </c>
      <c r="M106" s="12">
        <v>3073101.86</v>
      </c>
      <c r="N106" s="14"/>
      <c r="O106" s="32" t="s">
        <v>268</v>
      </c>
      <c r="P106" s="2">
        <v>420902</v>
      </c>
      <c r="Q106" s="2">
        <v>565984.64</v>
      </c>
    </row>
    <row r="107" spans="1:27" ht="15.805114008355607" customHeight="1">
      <c r="A107" s="1" t="s">
        <v>268</v>
      </c>
      <c r="B107" s="7">
        <v>141009</v>
      </c>
      <c r="C107" s="7">
        <v>281508</v>
      </c>
      <c r="D107" s="7">
        <v>438349</v>
      </c>
      <c r="E107" s="7">
        <v>595427</v>
      </c>
      <c r="F107" s="7">
        <v>743615</v>
      </c>
      <c r="G107" s="7">
        <v>944948</v>
      </c>
      <c r="H107" s="7">
        <v>1119143</v>
      </c>
      <c r="I107" s="7">
        <v>1297405</v>
      </c>
      <c r="J107" s="7">
        <v>1477028</v>
      </c>
      <c r="K107" s="7">
        <v>1661439</v>
      </c>
      <c r="L107" s="7">
        <v>1837530</v>
      </c>
      <c r="M107" s="12">
        <v>1979866</v>
      </c>
      <c r="N107" s="14"/>
      <c r="O107" s="32" t="s">
        <v>269</v>
      </c>
      <c r="P107" s="2">
        <v>434800</v>
      </c>
      <c r="Q107" s="2">
        <v>543796</v>
      </c>
    </row>
    <row r="108" spans="1:27" ht="14.323359770390807" customHeight="1">
      <c r="A108" s="1" t="s">
        <v>269</v>
      </c>
      <c r="B108" s="7">
        <v>404341</v>
      </c>
      <c r="C108" s="7">
        <v>521914</v>
      </c>
      <c r="D108" s="7">
        <v>641997</v>
      </c>
      <c r="E108" s="7">
        <v>770182</v>
      </c>
      <c r="F108" s="7">
        <v>888635</v>
      </c>
      <c r="G108" s="7">
        <v>1013641</v>
      </c>
      <c r="H108" s="7">
        <v>1140424</v>
      </c>
      <c r="I108" s="7">
        <v>1271478</v>
      </c>
      <c r="J108" s="7">
        <v>1412697</v>
      </c>
      <c r="K108" s="7">
        <v>1728931</v>
      </c>
      <c r="L108" s="7">
        <v>1875424</v>
      </c>
      <c r="M108" s="12">
        <v>2004930</v>
      </c>
      <c r="N108" s="14"/>
      <c r="O108" s="32" t="s">
        <v>270</v>
      </c>
      <c r="P108" s="2">
        <v>17620</v>
      </c>
      <c r="Q108" s="2">
        <v>22684</v>
      </c>
    </row>
    <row r="109" spans="1:27" ht="16.792970515454424" customHeight="1">
      <c r="A109" s="1" t="s">
        <v>270</v>
      </c>
      <c r="B109" s="7">
        <v>17140</v>
      </c>
      <c r="C109" s="7">
        <v>25128</v>
      </c>
      <c r="D109" s="7">
        <v>32238</v>
      </c>
      <c r="E109" s="7">
        <v>37969</v>
      </c>
      <c r="F109" s="7">
        <v>45312</v>
      </c>
      <c r="G109" s="7">
        <v>49214</v>
      </c>
      <c r="H109" s="7">
        <v>56590</v>
      </c>
      <c r="I109" s="7">
        <v>60876</v>
      </c>
      <c r="J109" s="7">
        <v>66094</v>
      </c>
      <c r="K109" s="7">
        <v>70844</v>
      </c>
      <c r="L109" s="7">
        <v>76824</v>
      </c>
      <c r="M109" s="12">
        <v>84015</v>
      </c>
      <c r="N109" s="14"/>
      <c r="O109" s="32" t="s">
        <v>271</v>
      </c>
      <c r="P109" s="2">
        <v>163784</v>
      </c>
      <c r="Q109" s="2">
        <v>282578</v>
      </c>
    </row>
    <row r="110" spans="1:27" ht="14.32342081575977" customHeight="1">
      <c r="A110" s="1" t="s">
        <v>271</v>
      </c>
      <c r="B110" s="7">
        <v>184918</v>
      </c>
      <c r="C110" s="7">
        <v>323545</v>
      </c>
      <c r="D110" s="7">
        <v>449586</v>
      </c>
      <c r="E110" s="7">
        <v>584694</v>
      </c>
      <c r="F110" s="7">
        <v>728034</v>
      </c>
      <c r="G110" s="7">
        <v>817436</v>
      </c>
      <c r="H110" s="7">
        <v>1304035</v>
      </c>
      <c r="I110" s="7">
        <v>1173393</v>
      </c>
      <c r="J110" s="7">
        <v>1317244</v>
      </c>
      <c r="K110" s="7">
        <v>1466415</v>
      </c>
      <c r="L110" s="7">
        <v>1619623</v>
      </c>
      <c r="M110" s="12">
        <v>1795152</v>
      </c>
      <c r="N110" s="14"/>
      <c r="O110" s="32" t="s">
        <v>272</v>
      </c>
      <c r="P110" s="2">
        <v>59461</v>
      </c>
      <c r="Q110" s="2">
        <v>120275</v>
      </c>
    </row>
    <row r="111" spans="1:27" ht="16.76488755211115" customHeight="1">
      <c r="A111" s="1" t="s">
        <v>272</v>
      </c>
      <c r="B111" s="7">
        <v>90396</v>
      </c>
      <c r="C111" s="7">
        <v>135387</v>
      </c>
      <c r="D111" s="7">
        <v>213904</v>
      </c>
      <c r="E111" s="7">
        <v>263363</v>
      </c>
      <c r="F111" s="7">
        <v>320079</v>
      </c>
      <c r="G111" s="7">
        <v>385687</v>
      </c>
      <c r="H111" s="7">
        <v>528949</v>
      </c>
      <c r="I111" s="7">
        <v>599926</v>
      </c>
      <c r="J111" s="7">
        <v>685485</v>
      </c>
      <c r="K111" s="7">
        <v>749820</v>
      </c>
      <c r="L111" s="7">
        <v>815753</v>
      </c>
      <c r="M111" s="12">
        <v>974884</v>
      </c>
      <c r="N111" s="14"/>
      <c r="O111" s="32" t="s">
        <v>273</v>
      </c>
      <c r="P111" t="s">
        <v>462</v>
      </c>
      <c r="Q111" s="2">
        <v>1738.09</v>
      </c>
    </row>
    <row r="112" spans="1:27" ht="16.792950166998406" customHeight="1">
      <c r="A112" s="1" t="s">
        <v>273</v>
      </c>
      <c r="B112" s="7">
        <v>1830364</v>
      </c>
      <c r="C112" s="7">
        <v>2551525</v>
      </c>
      <c r="D112" s="7">
        <v>2551525</v>
      </c>
      <c r="E112" s="7">
        <v>2551525</v>
      </c>
      <c r="F112" s="7">
        <v>2551525</v>
      </c>
      <c r="G112" s="7">
        <v>2551525</v>
      </c>
      <c r="H112" s="7">
        <v>2551525</v>
      </c>
      <c r="I112" s="7">
        <v>2584959</v>
      </c>
      <c r="J112" s="7">
        <v>2622353</v>
      </c>
      <c r="K112" s="7">
        <v>2646269</v>
      </c>
      <c r="L112" s="7">
        <v>26779.96</v>
      </c>
      <c r="M112" s="12">
        <v>26779.73</v>
      </c>
      <c r="N112" s="14"/>
      <c r="O112" s="32" t="s">
        <v>274</v>
      </c>
      <c r="P112" s="2">
        <v>42106</v>
      </c>
      <c r="Q112" s="2">
        <v>81358</v>
      </c>
    </row>
    <row r="113" spans="1:27" ht="16.79290947008576" customHeight="1">
      <c r="A113" s="1" t="s">
        <v>274</v>
      </c>
      <c r="B113" s="7">
        <v>11074</v>
      </c>
      <c r="C113" s="7">
        <v>18440</v>
      </c>
      <c r="D113" s="7">
        <v>0</v>
      </c>
      <c r="E113" s="7">
        <v>37983</v>
      </c>
      <c r="F113" s="7">
        <v>49042</v>
      </c>
      <c r="G113" s="7">
        <v>66309</v>
      </c>
      <c r="H113" s="7">
        <v>101594</v>
      </c>
      <c r="I113" s="7">
        <v>116188</v>
      </c>
      <c r="J113" s="7">
        <v>148717</v>
      </c>
      <c r="K113" s="7">
        <v>175686</v>
      </c>
      <c r="L113" s="7">
        <v>189026</v>
      </c>
      <c r="M113" s="12">
        <v>204387</v>
      </c>
      <c r="N113" s="14"/>
      <c r="O113" s="32" t="s">
        <v>275</v>
      </c>
      <c r="P113" s="2">
        <v>60133</v>
      </c>
      <c r="Q113" s="2">
        <v>114812</v>
      </c>
    </row>
    <row r="114" spans="1:27" ht="15.311216277490226" customHeight="1">
      <c r="A114" s="1" t="s">
        <v>275</v>
      </c>
      <c r="B114" s="7">
        <v>37937</v>
      </c>
      <c r="C114" s="7">
        <v>79546</v>
      </c>
      <c r="D114" s="7">
        <v>140108</v>
      </c>
      <c r="E114" s="7">
        <v>168070</v>
      </c>
      <c r="F114" s="7">
        <v>207259</v>
      </c>
      <c r="G114" s="7">
        <v>253201</v>
      </c>
      <c r="H114" s="7">
        <v>301779</v>
      </c>
      <c r="I114" s="7">
        <v>328811</v>
      </c>
      <c r="J114" s="7">
        <v>365023</v>
      </c>
      <c r="K114" s="7">
        <v>414526</v>
      </c>
      <c r="L114" s="7">
        <v>456314</v>
      </c>
      <c r="M114" s="12">
        <v>507201</v>
      </c>
      <c r="N114" s="14"/>
      <c r="O114" s="32" t="s">
        <v>276</v>
      </c>
      <c r="P114" s="2">
        <v>29456</v>
      </c>
      <c r="Q114" s="2">
        <v>58009</v>
      </c>
    </row>
    <row r="115" spans="1:27" ht="15.805114008355304" customHeight="1">
      <c r="A115" s="1" t="s">
        <v>276</v>
      </c>
      <c r="B115" s="7">
        <v>20564</v>
      </c>
      <c r="C115" s="7">
        <v>41605</v>
      </c>
      <c r="D115" s="7">
        <v>62898</v>
      </c>
      <c r="E115" s="7">
        <v>82111</v>
      </c>
      <c r="F115" s="7">
        <v>104714</v>
      </c>
      <c r="G115" s="7">
        <v>125748</v>
      </c>
      <c r="H115" s="7">
        <v>145352</v>
      </c>
      <c r="I115" s="7">
        <v>168748</v>
      </c>
      <c r="J115" s="7">
        <v>193083</v>
      </c>
      <c r="K115" s="7">
        <v>218609</v>
      </c>
      <c r="L115" s="7">
        <v>245332</v>
      </c>
      <c r="M115" s="12">
        <v>274291</v>
      </c>
      <c r="N115" s="14"/>
      <c r="O115" s="32" t="s">
        <v>277</v>
      </c>
      <c r="P115" s="2">
        <v>80192</v>
      </c>
      <c r="Q115" s="2">
        <v>285481</v>
      </c>
    </row>
    <row r="116" spans="1:27" ht="15.311195929033905" customHeight="1">
      <c r="A116" s="1" t="s">
        <v>277</v>
      </c>
      <c r="B116" s="7">
        <v>146882</v>
      </c>
      <c r="C116" s="7">
        <v>300376</v>
      </c>
      <c r="D116" s="7">
        <v>486075</v>
      </c>
      <c r="E116" s="7">
        <v>648584</v>
      </c>
      <c r="F116" s="7">
        <v>817846</v>
      </c>
      <c r="G116" s="7">
        <v>979918</v>
      </c>
      <c r="H116" s="7">
        <v>1150546</v>
      </c>
      <c r="I116" s="7">
        <v>1312658</v>
      </c>
      <c r="J116" s="7">
        <v>1498456</v>
      </c>
      <c r="K116" s="7">
        <v>1663757</v>
      </c>
      <c r="L116" s="7">
        <v>1841194</v>
      </c>
      <c r="M116" s="12">
        <v>1994531</v>
      </c>
      <c r="N116" s="14"/>
      <c r="O116" s="32" t="s">
        <v>278</v>
      </c>
      <c r="P116" s="2">
        <v>24975</v>
      </c>
      <c r="Q116" s="2">
        <v>54660</v>
      </c>
    </row>
    <row r="117" spans="1:27" ht="15.311216277490226" customHeight="1">
      <c r="A117" s="1" t="s">
        <v>278</v>
      </c>
      <c r="B117" s="7">
        <v>28433</v>
      </c>
      <c r="C117" s="7">
        <v>59352</v>
      </c>
      <c r="D117" s="7">
        <v>89374</v>
      </c>
      <c r="E117" s="7">
        <v>122768</v>
      </c>
      <c r="F117" s="7">
        <v>150551</v>
      </c>
      <c r="G117" s="7">
        <v>185481</v>
      </c>
      <c r="H117" s="7">
        <v>221943</v>
      </c>
      <c r="I117" s="7">
        <v>255440</v>
      </c>
      <c r="J117" s="7">
        <v>293422</v>
      </c>
      <c r="K117" s="7">
        <v>333264</v>
      </c>
      <c r="L117" s="7">
        <v>369713</v>
      </c>
      <c r="M117" s="12">
        <v>409327</v>
      </c>
      <c r="N117" s="14"/>
      <c r="O117" s="32" t="s">
        <v>279</v>
      </c>
      <c r="P117" t="s">
        <v>462</v>
      </c>
      <c r="Q117">
        <v>8</v>
      </c>
    </row>
    <row r="118" spans="1:27" ht="17.28682754940716" customHeight="1">
      <c r="A118" s="1" t="s">
        <v>279</v>
      </c>
      <c r="B118" s="7">
        <v>20241</v>
      </c>
      <c r="C118" s="7">
        <v>21506</v>
      </c>
      <c r="D118" s="7">
        <v>23183</v>
      </c>
      <c r="E118" s="7">
        <v>24177</v>
      </c>
      <c r="F118" s="7">
        <v>2551</v>
      </c>
      <c r="G118" s="7">
        <v>26894</v>
      </c>
      <c r="H118" s="7">
        <v>31551</v>
      </c>
      <c r="I118" s="7">
        <v>32922</v>
      </c>
      <c r="J118" s="7">
        <v>33976</v>
      </c>
      <c r="K118" s="7">
        <v>34432</v>
      </c>
      <c r="L118" s="7">
        <v>34914</v>
      </c>
      <c r="M118" s="12">
        <v>35527</v>
      </c>
      <c r="N118" s="14"/>
      <c r="O118" s="32" t="s">
        <v>280</v>
      </c>
      <c r="P118" s="2">
        <v>642520</v>
      </c>
    </row>
    <row r="119" spans="1:27" ht="17.286888594776126" customHeight="1">
      <c r="A119" s="1" t="s">
        <v>280</v>
      </c>
      <c r="B119" s="7">
        <v>1293251</v>
      </c>
      <c r="C119" s="7">
        <v>1907876</v>
      </c>
      <c r="D119" s="7">
        <v>2537791</v>
      </c>
      <c r="E119" s="7">
        <v>3240243</v>
      </c>
      <c r="F119" s="7"/>
      <c r="G119" s="7">
        <v>4337024</v>
      </c>
      <c r="H119" s="7">
        <v>5041955</v>
      </c>
      <c r="I119" s="7">
        <v>5586798</v>
      </c>
      <c r="J119" s="7">
        <v>6120712</v>
      </c>
      <c r="K119" s="7">
        <v>6688538</v>
      </c>
      <c r="L119" s="7">
        <v>7254868</v>
      </c>
      <c r="M119" s="12">
        <v>7842997</v>
      </c>
      <c r="N119" s="14"/>
      <c r="O119" s="32" t="s">
        <v>281</v>
      </c>
      <c r="P119" s="2">
        <v>853913</v>
      </c>
      <c r="Q119" s="2">
        <v>1615253</v>
      </c>
    </row>
    <row r="120" spans="1:27">
      <c r="A120" s="1" t="s">
        <v>281</v>
      </c>
      <c r="B120" s="7">
        <v>840063</v>
      </c>
      <c r="C120" s="7">
        <v>1679836</v>
      </c>
      <c r="D120" s="7">
        <v>2513654</v>
      </c>
      <c r="E120" s="7">
        <v>3182768</v>
      </c>
      <c r="F120" s="7">
        <v>3906494</v>
      </c>
      <c r="G120" s="7">
        <v>4670895</v>
      </c>
      <c r="H120" s="7">
        <v>5431000</v>
      </c>
      <c r="I120" s="7">
        <v>6170907</v>
      </c>
      <c r="J120" s="7">
        <v>6919315</v>
      </c>
      <c r="K120" s="7">
        <v>7724178</v>
      </c>
      <c r="L120" s="7">
        <v>8551696</v>
      </c>
      <c r="M120" s="12">
        <v>9446261</v>
      </c>
      <c r="N120" s="14"/>
      <c r="O120" s="32" t="s">
        <v>282</v>
      </c>
      <c r="P120" s="2">
        <v>1603290</v>
      </c>
      <c r="Q120" s="2">
        <v>3111252.48</v>
      </c>
    </row>
    <row r="121" spans="1:27" ht="14.860596359871428" customHeight="1">
      <c r="A121" s="1" t="s">
        <v>282</v>
      </c>
      <c r="B121" s="7">
        <v>1301049</v>
      </c>
      <c r="C121" s="7">
        <v>2698057</v>
      </c>
      <c r="D121" s="7">
        <v>4002409</v>
      </c>
      <c r="E121" s="7">
        <v>5223115</v>
      </c>
      <c r="F121" s="7">
        <v>6650270</v>
      </c>
      <c r="G121" s="7">
        <v>8187004</v>
      </c>
      <c r="H121" s="7">
        <v>9997466</v>
      </c>
      <c r="I121" s="7">
        <v>11701103</v>
      </c>
      <c r="J121" s="7">
        <v>13437875</v>
      </c>
      <c r="K121" s="7">
        <v>15152960</v>
      </c>
      <c r="L121" s="7">
        <v>16845120</v>
      </c>
      <c r="M121" s="12">
        <v>18360186</v>
      </c>
      <c r="N121" s="14"/>
      <c r="O121" s="32" t="s">
        <v>283</v>
      </c>
      <c r="P121" s="2">
        <v>49457</v>
      </c>
    </row>
    <row r="122" spans="1:27" ht="17.780745628728557" customHeight="1">
      <c r="A122" s="1" t="s">
        <v>283</v>
      </c>
      <c r="B122" s="7">
        <v>148826</v>
      </c>
      <c r="C122" s="7">
        <v>289892</v>
      </c>
      <c r="D122" s="7">
        <v>451494</v>
      </c>
      <c r="E122" s="7">
        <v>581811</v>
      </c>
      <c r="F122" s="7">
        <v>725878</v>
      </c>
      <c r="G122" s="7">
        <v>886738</v>
      </c>
      <c r="H122" s="7">
        <v>1052539</v>
      </c>
      <c r="I122" s="7">
        <v>1220379</v>
      </c>
      <c r="J122" s="7">
        <v>1396116</v>
      </c>
      <c r="K122" s="7">
        <v>1582154</v>
      </c>
      <c r="L122" s="7">
        <v>1780524</v>
      </c>
      <c r="M122" s="12">
        <v>2024981</v>
      </c>
      <c r="N122" s="14"/>
      <c r="O122" s="32" t="s">
        <v>284</v>
      </c>
      <c r="P122" s="2">
        <v>807599</v>
      </c>
      <c r="Q122" s="2">
        <v>1631895</v>
      </c>
    </row>
    <row r="123" spans="1:27" ht="15.805134356811928" customHeight="1">
      <c r="A123" s="1" t="s">
        <v>284</v>
      </c>
      <c r="B123" s="7">
        <v>777838</v>
      </c>
      <c r="C123" s="7">
        <v>1583115</v>
      </c>
      <c r="D123" s="7">
        <v>2383876</v>
      </c>
      <c r="E123" s="7">
        <v>3081573</v>
      </c>
      <c r="F123" s="7">
        <v>3759667</v>
      </c>
      <c r="G123" s="7">
        <v>4414324</v>
      </c>
      <c r="H123" s="7">
        <v>5139826</v>
      </c>
      <c r="I123" s="7">
        <v>5898889</v>
      </c>
      <c r="J123" s="7">
        <v>6690051</v>
      </c>
      <c r="K123" s="7">
        <v>7653508</v>
      </c>
      <c r="L123" s="7">
        <v>8769983</v>
      </c>
      <c r="M123" s="12">
        <v>9840824</v>
      </c>
      <c r="N123" s="14"/>
      <c r="O123" s="32" t="s">
        <v>285</v>
      </c>
      <c r="P123" s="2">
        <v>114906</v>
      </c>
      <c r="Q123" s="2">
        <v>248488</v>
      </c>
    </row>
    <row r="124" spans="1:27" ht="15.31144823240417" customHeight="1">
      <c r="A124" s="1" t="s">
        <v>285</v>
      </c>
      <c r="B124" s="7">
        <v>94085</v>
      </c>
      <c r="C124" s="7">
        <v>188833</v>
      </c>
      <c r="D124" s="7">
        <v>290741</v>
      </c>
      <c r="E124" s="7">
        <v>379557</v>
      </c>
      <c r="F124" s="7">
        <v>471151</v>
      </c>
      <c r="G124" s="7">
        <v>588671</v>
      </c>
      <c r="H124" s="7">
        <v>767199</v>
      </c>
      <c r="I124" s="7">
        <v>939066</v>
      </c>
      <c r="J124" s="7">
        <v>1105429</v>
      </c>
      <c r="K124" s="7">
        <v>1289090</v>
      </c>
      <c r="L124" s="7">
        <v>1435086</v>
      </c>
      <c r="M124" s="12">
        <v>1574164</v>
      </c>
      <c r="N124" s="14"/>
      <c r="O124" s="42" t="s">
        <v>286</v>
      </c>
      <c r="P124" s="2">
        <v>599996</v>
      </c>
      <c r="Q124" s="2">
        <v>828826</v>
      </c>
    </row>
    <row r="125" spans="1:27" ht="16.792950166998406" customHeight="1">
      <c r="A125" s="30" t="s">
        <v>286</v>
      </c>
      <c r="B125" s="7">
        <v>585345</v>
      </c>
      <c r="C125" s="7">
        <v>808878</v>
      </c>
      <c r="D125" s="7">
        <v>1176692</v>
      </c>
      <c r="E125" s="7">
        <v>1434496</v>
      </c>
      <c r="F125" s="7">
        <v>1600279</v>
      </c>
      <c r="G125" s="7">
        <v>1890561</v>
      </c>
      <c r="H125" s="7">
        <v>2189148</v>
      </c>
      <c r="I125" s="7">
        <v>2429692</v>
      </c>
      <c r="J125" s="7">
        <v>2711932</v>
      </c>
      <c r="K125" s="7">
        <v>3025777</v>
      </c>
      <c r="L125" s="7">
        <v>3276104</v>
      </c>
      <c r="M125" s="12">
        <v>3654564</v>
      </c>
      <c r="N125" s="14"/>
      <c r="O125" s="32" t="s">
        <v>287</v>
      </c>
      <c r="P125" s="2">
        <v>377454</v>
      </c>
      <c r="Q125" s="2">
        <v>730710.41</v>
      </c>
    </row>
    <row r="126" spans="1:27" ht="14.817298198168524" customHeight="1">
      <c r="A126" s="1" t="s">
        <v>287</v>
      </c>
      <c r="B126" s="7">
        <v>225152</v>
      </c>
      <c r="C126" s="7">
        <v>445703</v>
      </c>
      <c r="D126" s="7">
        <v>749362</v>
      </c>
      <c r="E126" s="7">
        <v>1014913</v>
      </c>
      <c r="F126" s="7">
        <v>1191070</v>
      </c>
      <c r="G126" s="7">
        <v>1480331</v>
      </c>
      <c r="H126" s="7">
        <v>1782899</v>
      </c>
      <c r="I126" s="7">
        <v>2076958</v>
      </c>
      <c r="J126" s="7">
        <v>2453395</v>
      </c>
      <c r="K126" s="7">
        <v>2862066</v>
      </c>
      <c r="L126" s="7">
        <v>3181762</v>
      </c>
      <c r="M126" s="12">
        <v>3539244</v>
      </c>
      <c r="N126" s="14"/>
      <c r="O126" s="32" t="s">
        <v>288</v>
      </c>
      <c r="P126" s="2">
        <v>73709</v>
      </c>
      <c r="Q126" s="2">
        <v>109790</v>
      </c>
    </row>
    <row r="127" spans="1:27" ht="17.780745628728862" customHeight="1">
      <c r="A127" s="1" t="s">
        <v>288</v>
      </c>
      <c r="B127" s="7">
        <v>96782</v>
      </c>
      <c r="C127" s="7">
        <v>135658</v>
      </c>
      <c r="D127" s="7">
        <v>182398</v>
      </c>
      <c r="E127" s="7">
        <v>269328</v>
      </c>
      <c r="F127" s="7">
        <v>318931</v>
      </c>
      <c r="G127" s="7">
        <v>362596</v>
      </c>
      <c r="H127" s="7">
        <v>405970</v>
      </c>
      <c r="I127" s="7">
        <v>457609</v>
      </c>
      <c r="J127" s="7">
        <v>495331</v>
      </c>
      <c r="K127" s="7">
        <v>554535</v>
      </c>
      <c r="L127" s="7">
        <v>58715</v>
      </c>
      <c r="M127" s="12">
        <v>631706</v>
      </c>
      <c r="N127" s="14"/>
      <c r="O127" s="32" t="s">
        <v>289</v>
      </c>
      <c r="P127" s="2">
        <v>824494</v>
      </c>
      <c r="Q127" s="2">
        <v>1622063</v>
      </c>
    </row>
    <row r="128" spans="1:27" ht="14.817277849712505" customHeight="1">
      <c r="A128" s="1" t="s">
        <v>289</v>
      </c>
      <c r="B128" s="7">
        <v>805219</v>
      </c>
      <c r="C128" s="7">
        <v>1578992</v>
      </c>
      <c r="D128" s="7">
        <v>2390669</v>
      </c>
      <c r="E128" s="7">
        <v>3095454</v>
      </c>
      <c r="F128" s="7">
        <v>3893249</v>
      </c>
      <c r="G128" s="7">
        <v>4823286</v>
      </c>
      <c r="H128" s="7">
        <v>5720431</v>
      </c>
      <c r="I128" s="7">
        <v>6630448</v>
      </c>
      <c r="J128" s="7">
        <v>7593673</v>
      </c>
      <c r="K128" s="7">
        <v>8641772</v>
      </c>
      <c r="L128" s="7">
        <v>9710371</v>
      </c>
      <c r="M128" s="12">
        <v>10807795</v>
      </c>
      <c r="N128" s="14"/>
      <c r="O128" s="32" t="s">
        <v>290</v>
      </c>
      <c r="P128" s="2">
        <v>1868524</v>
      </c>
      <c r="Q128" s="2">
        <v>3677051</v>
      </c>
    </row>
    <row r="129" spans="1:27">
      <c r="A129" s="1" t="s">
        <v>290</v>
      </c>
      <c r="B129" s="7">
        <v>1641994</v>
      </c>
      <c r="C129" s="7">
        <v>3241765</v>
      </c>
      <c r="D129" s="7">
        <v>5072265</v>
      </c>
      <c r="E129" s="7">
        <v>6470364</v>
      </c>
      <c r="F129" s="7">
        <v>7941988</v>
      </c>
      <c r="G129" s="7">
        <v>9730379</v>
      </c>
      <c r="H129" s="7">
        <v>11547452</v>
      </c>
      <c r="I129" s="7">
        <v>13341542</v>
      </c>
      <c r="J129" s="7">
        <v>15193632</v>
      </c>
      <c r="K129" s="7">
        <v>17228414</v>
      </c>
      <c r="L129" s="7">
        <v>18997571</v>
      </c>
      <c r="M129" s="12">
        <v>21068976</v>
      </c>
      <c r="N129" s="14"/>
      <c r="O129" s="32" t="s">
        <v>291</v>
      </c>
      <c r="P129" s="2">
        <v>364067</v>
      </c>
      <c r="Q129" s="2">
        <v>651960.45</v>
      </c>
    </row>
    <row r="130" spans="1:27" ht="16.118837431838983" customHeight="1">
      <c r="A130" s="1" t="s">
        <v>291</v>
      </c>
      <c r="B130" s="7">
        <v>267413</v>
      </c>
      <c r="C130" s="7">
        <v>594763</v>
      </c>
      <c r="D130" s="7">
        <v>88031</v>
      </c>
      <c r="E130" s="7">
        <v>1170082</v>
      </c>
      <c r="F130" s="7">
        <v>1588597</v>
      </c>
      <c r="G130" s="7">
        <v>1996196</v>
      </c>
      <c r="H130" s="7">
        <v>2330894</v>
      </c>
      <c r="I130" s="7">
        <v>2673073</v>
      </c>
      <c r="J130" s="7">
        <v>3081480</v>
      </c>
      <c r="K130" s="7">
        <v>3560372</v>
      </c>
      <c r="L130" s="7">
        <v>4006515</v>
      </c>
      <c r="M130" s="12">
        <v>4452416</v>
      </c>
      <c r="N130" s="14"/>
      <c r="O130" s="32" t="s">
        <v>292</v>
      </c>
      <c r="P130" s="2">
        <v>322725</v>
      </c>
      <c r="Q130" s="2">
        <v>641571</v>
      </c>
    </row>
    <row r="131" spans="1:27" ht="15.311195929033905" customHeight="1">
      <c r="A131" s="1" t="s">
        <v>292</v>
      </c>
      <c r="B131" s="7">
        <v>199534</v>
      </c>
      <c r="C131" s="7">
        <v>419678</v>
      </c>
      <c r="D131" s="7">
        <v>633943</v>
      </c>
      <c r="E131" s="7">
        <v>813584</v>
      </c>
      <c r="F131" s="7">
        <v>984527</v>
      </c>
      <c r="G131" s="7">
        <v>1172187</v>
      </c>
      <c r="H131" s="7">
        <v>1412765</v>
      </c>
      <c r="I131" s="7">
        <v>1631178</v>
      </c>
      <c r="J131" s="7">
        <v>1912243</v>
      </c>
      <c r="K131" s="7">
        <v>2207884</v>
      </c>
      <c r="L131" s="7">
        <v>2513687</v>
      </c>
      <c r="M131" s="12">
        <v>2938686</v>
      </c>
      <c r="N131" s="14"/>
      <c r="O131" s="32" t="s">
        <v>293</v>
      </c>
      <c r="P131" s="2">
        <v>113503</v>
      </c>
      <c r="Q131" s="2">
        <v>196277</v>
      </c>
    </row>
    <row r="132" spans="1:27" ht="16.792950166998406" customHeight="1">
      <c r="A132" s="1" t="s">
        <v>293</v>
      </c>
      <c r="B132" s="7">
        <v>76566</v>
      </c>
      <c r="C132" s="7">
        <v>157399</v>
      </c>
      <c r="D132" s="7">
        <v>236585</v>
      </c>
      <c r="E132" s="7">
        <v>314310</v>
      </c>
      <c r="F132" s="7">
        <v>373640</v>
      </c>
      <c r="G132" s="7">
        <v>453783</v>
      </c>
      <c r="H132" s="7">
        <v>528175</v>
      </c>
      <c r="I132" s="7">
        <v>596942</v>
      </c>
      <c r="J132" s="7">
        <v>677493</v>
      </c>
      <c r="K132" s="7">
        <v>763794</v>
      </c>
      <c r="L132" s="7">
        <v>838084</v>
      </c>
      <c r="M132" s="12">
        <v>952831</v>
      </c>
      <c r="N132" s="14"/>
      <c r="O132" s="32" t="s">
        <v>294</v>
      </c>
      <c r="P132" s="2">
        <v>1158058</v>
      </c>
      <c r="Q132" s="2">
        <v>1542866</v>
      </c>
    </row>
    <row r="133" spans="1:27" ht="16.79292981854208" customHeight="1">
      <c r="A133" s="1" t="s">
        <v>294</v>
      </c>
      <c r="B133" s="7">
        <v>751949</v>
      </c>
      <c r="C133" s="7">
        <v>1329375</v>
      </c>
      <c r="D133" s="7">
        <v>1793083</v>
      </c>
      <c r="E133" s="7">
        <v>2166204</v>
      </c>
      <c r="F133" s="7">
        <v>2516057</v>
      </c>
      <c r="G133" s="7">
        <v>2927562</v>
      </c>
      <c r="H133" s="7">
        <v>3498701</v>
      </c>
      <c r="I133" s="7">
        <v>3898919</v>
      </c>
      <c r="J133" s="7">
        <v>4341927</v>
      </c>
      <c r="K133" s="7">
        <v>4841165</v>
      </c>
      <c r="L133" s="7">
        <v>5282409</v>
      </c>
      <c r="M133" s="12">
        <v>5806484</v>
      </c>
      <c r="N133" s="14"/>
      <c r="O133" s="32" t="s">
        <v>295</v>
      </c>
      <c r="P133" s="2">
        <v>293645</v>
      </c>
      <c r="Q133" s="2">
        <v>523771</v>
      </c>
    </row>
    <row r="134" spans="1:27">
      <c r="A134" s="1" t="s">
        <v>295</v>
      </c>
      <c r="B134" s="7">
        <v>299262</v>
      </c>
      <c r="C134" s="7">
        <v>544390</v>
      </c>
      <c r="D134" s="7">
        <v>795404</v>
      </c>
      <c r="E134" s="7">
        <v>1055670</v>
      </c>
      <c r="F134" s="7">
        <v>1287076</v>
      </c>
      <c r="G134" s="7">
        <v>1532772</v>
      </c>
      <c r="H134" s="7">
        <v>1836655</v>
      </c>
      <c r="I134" s="7">
        <v>2096279</v>
      </c>
      <c r="J134" s="7">
        <v>2352467</v>
      </c>
      <c r="K134" s="7">
        <v>2625753</v>
      </c>
      <c r="L134" s="7">
        <v>2868932</v>
      </c>
      <c r="M134" s="12">
        <v>3219565</v>
      </c>
      <c r="N134" s="14"/>
      <c r="O134" s="32" t="s">
        <v>296</v>
      </c>
      <c r="P134" s="2">
        <v>180053</v>
      </c>
      <c r="Q134" s="2">
        <v>348552</v>
      </c>
    </row>
    <row r="135" spans="1:27" ht="14.646760237694556" customHeight="1">
      <c r="A135" s="1" t="s">
        <v>296</v>
      </c>
      <c r="B135" s="7">
        <v>180785</v>
      </c>
      <c r="C135" s="7">
        <v>365475</v>
      </c>
      <c r="D135" s="7">
        <v>557304</v>
      </c>
      <c r="E135" s="7">
        <v>722119</v>
      </c>
      <c r="F135" s="7">
        <v>880201</v>
      </c>
      <c r="G135" s="7">
        <v>1047552</v>
      </c>
      <c r="H135" s="7">
        <v>1240572</v>
      </c>
      <c r="I135" s="7">
        <v>1449818</v>
      </c>
      <c r="J135" s="7">
        <v>1674427</v>
      </c>
      <c r="K135" s="7">
        <v>1893094</v>
      </c>
      <c r="L135" s="7">
        <v>2093131</v>
      </c>
      <c r="M135" s="12">
        <v>2327202</v>
      </c>
      <c r="N135" s="14"/>
      <c r="O135" s="32" t="s">
        <v>297</v>
      </c>
      <c r="P135" s="2">
        <v>57238</v>
      </c>
      <c r="Q135" s="2">
        <v>78415.95</v>
      </c>
    </row>
    <row r="136" spans="1:27">
      <c r="A136" s="1" t="s">
        <v>297</v>
      </c>
      <c r="B136" s="7">
        <v>5209876</v>
      </c>
      <c r="C136" s="7">
        <v>6550242</v>
      </c>
      <c r="D136" s="7">
        <v>8847313</v>
      </c>
      <c r="E136" s="7">
        <v>11037884</v>
      </c>
      <c r="F136" s="7">
        <v>12272658</v>
      </c>
      <c r="G136" s="7">
        <v>14495770</v>
      </c>
      <c r="H136" s="7">
        <v>17233983</v>
      </c>
      <c r="I136" s="7">
        <v>19000448</v>
      </c>
      <c r="J136" s="7">
        <v>21937752</v>
      </c>
      <c r="K136" s="7">
        <v>24631885</v>
      </c>
      <c r="L136" s="7">
        <v>266938.61</v>
      </c>
      <c r="M136" s="12">
        <v>295152.95</v>
      </c>
      <c r="N136" s="14"/>
      <c r="O136" s="33"/>
    </row>
    <row r="137" spans="1:27">
      <c r="A137" s="8" t="s">
        <v>463</v>
      </c>
      <c r="B137" s="3">
        <f>sum(B89:B136)</f>
        <v>68420372</v>
      </c>
      <c r="C137" s="3">
        <f>sum(C89:C136)</f>
        <v>114098319</v>
      </c>
      <c r="D137" s="3">
        <f>sum(D89:D136)</f>
        <v>155703134</v>
      </c>
      <c r="E137" s="3">
        <f>sum(E89:E136)</f>
        <v>190370982</v>
      </c>
      <c r="F137" s="3">
        <f>sum(F89:F136)</f>
        <v>213902695</v>
      </c>
      <c r="G137" s="3">
        <f>sum(G89:G136)</f>
        <v>274294254</v>
      </c>
      <c r="H137" s="3">
        <f>sum(H89:H136)</f>
        <v>318899911</v>
      </c>
      <c r="I137" s="3">
        <f>sum(I89:I136)</f>
        <v>351303027</v>
      </c>
      <c r="J137" s="3">
        <f>sum(J89:J136)</f>
        <v>388238159</v>
      </c>
      <c r="K137" s="3">
        <f>sum(K89:K136)</f>
        <v>425347704</v>
      </c>
      <c r="L137" s="3">
        <f>sum(L89:L136)</f>
        <v>435058941.57</v>
      </c>
      <c r="M137" s="4">
        <f>sum(M136:M88)</f>
        <v>160216701.62</v>
      </c>
      <c r="N137" s="14"/>
      <c r="O137" s="33" t="s">
        <v>155</v>
      </c>
      <c r="P137" s="2">
        <f>sum(P136:P88)</f>
        <v>17107770.09</v>
      </c>
    </row>
    <row r="138" spans="1:27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4" t="s">
        <v>464</v>
      </c>
      <c r="N138" s="14"/>
      <c r="O138" s="33"/>
    </row>
    <row r="139" spans="1:27">
      <c r="A139" s="8" t="s">
        <v>465</v>
      </c>
      <c r="D139" s="3"/>
      <c r="E139" s="3" t="s">
        <v>466</v>
      </c>
      <c r="F139" s="3"/>
      <c r="G139" s="3"/>
      <c r="H139" s="3"/>
      <c r="I139" s="3"/>
      <c r="J139" s="3"/>
      <c r="K139" s="3"/>
      <c r="L139" s="3"/>
      <c r="M139" s="4"/>
      <c r="N139" s="14"/>
      <c r="O139" s="33"/>
    </row>
    <row r="140" spans="1:27">
      <c r="A140" s="8" t="s">
        <v>300</v>
      </c>
      <c r="B140" t="s">
        <v>301</v>
      </c>
      <c r="C140" t="s">
        <v>467</v>
      </c>
      <c r="D140" s="3"/>
      <c r="E140" s="3" t="s">
        <v>300</v>
      </c>
      <c r="F140" s="3" t="s">
        <v>301</v>
      </c>
      <c r="G140" s="3" t="s">
        <v>468</v>
      </c>
      <c r="H140" s="3"/>
      <c r="I140" s="3"/>
      <c r="J140" s="3"/>
      <c r="K140" s="3"/>
      <c r="L140" s="3"/>
      <c r="M140" s="4"/>
      <c r="N140" s="14"/>
      <c r="O140" s="33"/>
    </row>
    <row r="141" spans="1:27">
      <c r="A141" s="8">
        <v>1</v>
      </c>
      <c r="B141" t="s">
        <v>315</v>
      </c>
      <c r="C141" s="2">
        <v>9095916</v>
      </c>
      <c r="D141" s="3"/>
      <c r="E141" s="3">
        <v>1</v>
      </c>
      <c r="F141" s="3" t="s">
        <v>315</v>
      </c>
      <c r="G141" s="3" t="s">
        <v>469</v>
      </c>
      <c r="H141" s="3"/>
      <c r="I141" s="3"/>
      <c r="J141" s="3"/>
      <c r="K141" s="3"/>
      <c r="L141" s="3"/>
      <c r="M141" s="4"/>
      <c r="N141" s="14"/>
      <c r="O141" s="33"/>
    </row>
    <row r="142" spans="1:27">
      <c r="A142" s="8">
        <v>2</v>
      </c>
      <c r="B142" t="s">
        <v>470</v>
      </c>
      <c r="C142" s="2">
        <v>7744286</v>
      </c>
      <c r="D142" s="3"/>
      <c r="E142" s="3">
        <v>2</v>
      </c>
      <c r="F142" s="3" t="s">
        <v>304</v>
      </c>
      <c r="G142" s="3" t="s">
        <v>471</v>
      </c>
      <c r="H142" s="3"/>
      <c r="I142" s="3"/>
      <c r="J142" s="3"/>
      <c r="K142" s="3"/>
      <c r="L142" s="3"/>
      <c r="M142" s="4"/>
      <c r="N142" s="14"/>
      <c r="O142" s="33"/>
    </row>
    <row r="143" spans="1:27">
      <c r="A143" s="8">
        <v>3</v>
      </c>
      <c r="B143" t="s">
        <v>304</v>
      </c>
      <c r="C143" s="2">
        <v>7693605</v>
      </c>
      <c r="D143" s="3"/>
      <c r="E143" s="3">
        <v>3</v>
      </c>
      <c r="F143" s="3" t="s">
        <v>472</v>
      </c>
      <c r="G143" s="3" t="s">
        <v>473</v>
      </c>
      <c r="H143" s="3"/>
      <c r="I143" s="3"/>
      <c r="J143" s="3"/>
      <c r="K143" s="3"/>
      <c r="L143" s="3"/>
      <c r="M143" s="4"/>
      <c r="N143" s="14"/>
      <c r="O143" s="33"/>
    </row>
    <row r="144" spans="1:27">
      <c r="A144" s="8">
        <v>4</v>
      </c>
      <c r="B144" t="s">
        <v>306</v>
      </c>
      <c r="C144" s="2">
        <v>6011019</v>
      </c>
      <c r="D144" s="3"/>
      <c r="E144" s="3">
        <v>4</v>
      </c>
      <c r="F144" s="3" t="s">
        <v>319</v>
      </c>
      <c r="G144" s="3" t="s">
        <v>474</v>
      </c>
      <c r="H144" s="3"/>
      <c r="I144" s="3"/>
      <c r="J144" s="3"/>
      <c r="K144" s="3"/>
      <c r="L144" s="3"/>
      <c r="M144" s="4"/>
      <c r="N144" s="14"/>
      <c r="O144" s="33"/>
    </row>
    <row r="145" spans="1:27">
      <c r="A145" s="8">
        <v>5</v>
      </c>
      <c r="B145" t="s">
        <v>310</v>
      </c>
      <c r="C145" s="2">
        <v>5134533</v>
      </c>
      <c r="D145" s="3"/>
      <c r="E145" s="3">
        <v>5</v>
      </c>
      <c r="F145" s="3" t="s">
        <v>310</v>
      </c>
      <c r="G145" s="3" t="s">
        <v>475</v>
      </c>
      <c r="H145" s="3"/>
      <c r="I145" s="3"/>
      <c r="J145" s="3"/>
      <c r="K145" s="3"/>
      <c r="L145" s="3"/>
      <c r="M145" s="4"/>
      <c r="N145" s="14"/>
      <c r="O145" s="33"/>
    </row>
    <row r="146" spans="1:27">
      <c r="A146" s="8">
        <v>6</v>
      </c>
      <c r="B146" t="s">
        <v>308</v>
      </c>
      <c r="C146" s="2">
        <v>4360663</v>
      </c>
      <c r="D146" s="3"/>
      <c r="E146" s="3">
        <v>6</v>
      </c>
      <c r="F146" s="3" t="s">
        <v>476</v>
      </c>
      <c r="G146" s="3" t="s">
        <v>477</v>
      </c>
      <c r="H146" s="3"/>
      <c r="I146" s="3"/>
      <c r="J146" s="3"/>
      <c r="K146" s="3"/>
      <c r="L146" s="3"/>
      <c r="M146" s="4"/>
      <c r="N146" s="14"/>
      <c r="O146" s="33"/>
    </row>
    <row r="147" spans="1:27">
      <c r="A147" s="8">
        <v>7</v>
      </c>
      <c r="B147" t="s">
        <v>312</v>
      </c>
      <c r="C147" s="2">
        <v>4010953</v>
      </c>
      <c r="D147" s="3"/>
      <c r="E147" s="3">
        <v>7</v>
      </c>
      <c r="F147" s="3" t="s">
        <v>306</v>
      </c>
      <c r="G147" s="3" t="s">
        <v>478</v>
      </c>
      <c r="H147" s="3"/>
      <c r="I147" s="3"/>
      <c r="J147" s="3"/>
      <c r="K147" s="3"/>
      <c r="L147" s="3"/>
      <c r="M147" s="4"/>
      <c r="N147" s="14"/>
      <c r="O147" s="33"/>
    </row>
    <row r="148" spans="1:27">
      <c r="A148" s="8">
        <v>8</v>
      </c>
      <c r="B148" t="s">
        <v>472</v>
      </c>
      <c r="C148" s="2">
        <v>3755446</v>
      </c>
      <c r="D148" s="3"/>
      <c r="E148" s="3">
        <v>8</v>
      </c>
      <c r="F148" s="3" t="s">
        <v>321</v>
      </c>
      <c r="G148" s="3" t="s">
        <v>479</v>
      </c>
      <c r="H148" s="3"/>
      <c r="I148" s="3"/>
      <c r="J148" s="3"/>
      <c r="K148" s="3"/>
      <c r="L148" s="3"/>
      <c r="M148" s="4"/>
      <c r="N148" s="14"/>
      <c r="O148" s="33"/>
    </row>
    <row r="149" spans="1:27">
      <c r="A149" s="8">
        <v>9</v>
      </c>
      <c r="B149" t="s">
        <v>317</v>
      </c>
      <c r="C149" s="2">
        <v>3682591</v>
      </c>
      <c r="D149" s="3"/>
      <c r="E149" s="3">
        <v>9</v>
      </c>
      <c r="F149" s="3" t="s">
        <v>308</v>
      </c>
      <c r="G149" s="3" t="s">
        <v>480</v>
      </c>
      <c r="H149" s="3"/>
      <c r="I149" s="3"/>
      <c r="J149" s="3"/>
      <c r="K149" s="3"/>
      <c r="L149" s="3"/>
      <c r="M149" s="4"/>
      <c r="N149" s="14"/>
      <c r="O149" s="33"/>
    </row>
    <row r="150" spans="1:27">
      <c r="A150" s="8">
        <v>10</v>
      </c>
      <c r="B150" t="s">
        <v>319</v>
      </c>
      <c r="C150" s="2">
        <v>3027949</v>
      </c>
      <c r="D150" s="3"/>
      <c r="E150" s="3">
        <v>10</v>
      </c>
      <c r="F150" s="3" t="s">
        <v>313</v>
      </c>
      <c r="G150" s="3" t="s">
        <v>481</v>
      </c>
      <c r="H150" s="3"/>
      <c r="I150" s="3"/>
      <c r="J150" s="3"/>
      <c r="K150" s="3"/>
      <c r="L150" s="3"/>
      <c r="M150" s="4"/>
      <c r="N150" s="14"/>
      <c r="O150" s="33"/>
    </row>
    <row r="151" spans="1:27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4"/>
      <c r="N151" s="14"/>
      <c r="O151" s="33"/>
    </row>
    <row r="152" spans="1:27">
      <c r="A152" s="8"/>
      <c r="B152" s="3"/>
      <c r="C152" s="3"/>
      <c r="D152" s="3"/>
      <c r="E152" s="3" t="s">
        <v>325</v>
      </c>
      <c r="F152" s="3"/>
      <c r="G152" s="3"/>
      <c r="H152" s="3"/>
      <c r="I152" s="3"/>
      <c r="J152" s="3"/>
      <c r="K152" s="3"/>
      <c r="L152" s="3"/>
      <c r="M152" s="4"/>
      <c r="N152" s="14"/>
      <c r="O152" s="33"/>
    </row>
    <row r="153" spans="1:27">
      <c r="A153" s="8" t="s">
        <v>482</v>
      </c>
      <c r="C153" s="2"/>
      <c r="D153" s="3"/>
      <c r="E153" s="3"/>
      <c r="F153" s="1" t="s">
        <v>290</v>
      </c>
      <c r="G153" s="2">
        <v>1868524</v>
      </c>
      <c r="H153" s="3"/>
      <c r="I153" s="3"/>
      <c r="J153" s="3"/>
      <c r="K153" s="3"/>
      <c r="L153" s="3"/>
      <c r="M153" s="4"/>
      <c r="N153" s="14"/>
      <c r="O153" s="33"/>
    </row>
    <row r="154" spans="1:27">
      <c r="A154" s="8" t="s">
        <v>300</v>
      </c>
      <c r="B154" t="s">
        <v>301</v>
      </c>
      <c r="C154" s="2" t="s">
        <v>467</v>
      </c>
      <c r="D154" s="3"/>
      <c r="E154" s="3"/>
      <c r="F154" s="1" t="s">
        <v>282</v>
      </c>
      <c r="G154" s="2">
        <v>1603290</v>
      </c>
      <c r="H154" s="3"/>
      <c r="I154" s="3"/>
      <c r="J154" s="3"/>
      <c r="K154" s="3"/>
      <c r="L154" s="3"/>
      <c r="M154" s="4"/>
      <c r="N154" s="14"/>
      <c r="O154" s="33"/>
    </row>
    <row r="155" spans="1:27">
      <c r="A155" s="8">
        <v>1</v>
      </c>
      <c r="B155" t="s">
        <v>329</v>
      </c>
      <c r="C155" s="2">
        <v>21068976</v>
      </c>
      <c r="D155" s="3"/>
      <c r="E155" s="3"/>
      <c r="F155" s="1" t="s">
        <v>255</v>
      </c>
      <c r="G155" s="2">
        <v>1201012</v>
      </c>
      <c r="H155" s="3"/>
      <c r="I155" s="3"/>
      <c r="J155" s="3"/>
      <c r="K155" s="3"/>
      <c r="L155" s="3"/>
      <c r="M155" s="4"/>
      <c r="N155" s="14"/>
      <c r="O155" s="33"/>
    </row>
    <row r="156" spans="1:27">
      <c r="A156" s="8">
        <v>2</v>
      </c>
      <c r="B156" t="s">
        <v>332</v>
      </c>
      <c r="C156" s="2">
        <v>18360186</v>
      </c>
      <c r="D156" s="3"/>
      <c r="E156" s="3"/>
      <c r="F156" s="1" t="s">
        <v>294</v>
      </c>
      <c r="G156" s="2">
        <v>1158058</v>
      </c>
      <c r="H156" s="3"/>
      <c r="I156" s="3"/>
      <c r="J156" s="3"/>
      <c r="K156" s="3"/>
      <c r="L156" s="3"/>
      <c r="M156" s="4"/>
      <c r="N156" s="14"/>
      <c r="O156" s="33"/>
    </row>
    <row r="157" spans="1:27">
      <c r="A157" s="8">
        <v>3</v>
      </c>
      <c r="B157" t="s">
        <v>328</v>
      </c>
      <c r="C157" s="2">
        <v>13425536</v>
      </c>
      <c r="D157" s="3"/>
      <c r="E157" s="3"/>
      <c r="F157" s="1" t="s">
        <v>256</v>
      </c>
      <c r="G157" s="2">
        <v>889819</v>
      </c>
      <c r="H157" s="3"/>
      <c r="I157" s="3"/>
      <c r="J157" s="3"/>
      <c r="K157" s="3"/>
      <c r="L157" s="3"/>
      <c r="M157" s="4"/>
      <c r="N157" s="14"/>
      <c r="O157" s="33"/>
    </row>
    <row r="158" spans="1:27">
      <c r="A158" s="8">
        <v>4</v>
      </c>
      <c r="B158" t="s">
        <v>327</v>
      </c>
      <c r="C158" s="2">
        <v>10807795</v>
      </c>
      <c r="D158" s="3"/>
      <c r="E158" s="3"/>
      <c r="F158" s="1" t="s">
        <v>281</v>
      </c>
      <c r="G158" s="2">
        <v>853913</v>
      </c>
      <c r="H158" s="3"/>
      <c r="I158" s="3"/>
      <c r="J158" s="3"/>
      <c r="K158" s="3"/>
      <c r="L158" s="3"/>
      <c r="M158" s="4"/>
      <c r="N158" s="14"/>
      <c r="O158" s="33"/>
    </row>
    <row r="159" spans="1:27">
      <c r="A159" s="8">
        <v>5</v>
      </c>
      <c r="B159" t="s">
        <v>330</v>
      </c>
      <c r="C159" s="2">
        <v>9840824</v>
      </c>
      <c r="D159" s="3"/>
      <c r="E159" s="3"/>
      <c r="F159" s="1" t="s">
        <v>289</v>
      </c>
      <c r="G159" s="2">
        <v>824494</v>
      </c>
      <c r="H159" s="3"/>
      <c r="I159" s="3"/>
      <c r="J159" s="3"/>
      <c r="K159" s="3"/>
      <c r="L159" s="3"/>
      <c r="M159" s="4"/>
      <c r="N159" s="14"/>
      <c r="O159" s="33"/>
    </row>
    <row r="160" spans="1:27">
      <c r="A160" s="8">
        <v>6</v>
      </c>
      <c r="B160" t="s">
        <v>331</v>
      </c>
      <c r="C160" s="2">
        <v>9446261</v>
      </c>
      <c r="D160" s="3"/>
      <c r="E160" s="3"/>
      <c r="F160" s="1" t="s">
        <v>284</v>
      </c>
      <c r="G160" s="2">
        <v>807599</v>
      </c>
      <c r="H160" s="3"/>
      <c r="I160" s="3"/>
      <c r="J160" s="3"/>
      <c r="K160" s="3"/>
      <c r="L160" s="3"/>
      <c r="M160" s="4"/>
      <c r="N160" s="14"/>
      <c r="O160" s="33"/>
    </row>
    <row r="161" spans="1:27">
      <c r="A161" s="8">
        <v>7</v>
      </c>
      <c r="B161" t="s">
        <v>334</v>
      </c>
      <c r="C161" s="2">
        <v>5806484</v>
      </c>
      <c r="D161" s="3"/>
      <c r="E161" s="3"/>
      <c r="F161" s="1" t="s">
        <v>280</v>
      </c>
      <c r="G161" s="2">
        <v>642520</v>
      </c>
      <c r="H161" s="3"/>
      <c r="I161" s="3"/>
      <c r="J161" s="3"/>
      <c r="K161" s="3"/>
      <c r="L161" s="3"/>
      <c r="M161" s="4"/>
      <c r="N161" s="14"/>
      <c r="O161" s="33"/>
    </row>
    <row r="162" spans="1:27">
      <c r="A162" s="8">
        <v>8</v>
      </c>
      <c r="B162" t="s">
        <v>336</v>
      </c>
      <c r="C162" s="2">
        <v>5608710</v>
      </c>
      <c r="D162" s="3"/>
      <c r="E162" s="3"/>
      <c r="F162" s="1" t="s">
        <v>264</v>
      </c>
      <c r="G162" s="2">
        <v>619598</v>
      </c>
      <c r="H162" s="3"/>
      <c r="I162" s="3"/>
      <c r="J162" s="3"/>
      <c r="K162" s="3"/>
      <c r="L162" s="3"/>
      <c r="M162" s="4"/>
      <c r="N162" s="14"/>
      <c r="O162" s="33"/>
    </row>
    <row r="163" spans="1:27">
      <c r="A163" s="8">
        <v>9</v>
      </c>
      <c r="B163" t="s">
        <v>483</v>
      </c>
      <c r="C163" s="2">
        <v>4706020</v>
      </c>
      <c r="D163" s="3"/>
      <c r="E163" s="3"/>
      <c r="F163" s="3"/>
      <c r="G163" s="3"/>
      <c r="H163" s="3"/>
      <c r="I163" s="3"/>
      <c r="J163" s="3"/>
      <c r="K163" s="3"/>
      <c r="L163" s="3"/>
      <c r="M163" s="4"/>
      <c r="N163" s="14"/>
      <c r="O163" s="33"/>
    </row>
    <row r="164" spans="1:27">
      <c r="A164" s="8">
        <v>10</v>
      </c>
      <c r="B164" t="s">
        <v>423</v>
      </c>
      <c r="C164" s="2">
        <v>4452416</v>
      </c>
      <c r="D164" s="3"/>
      <c r="E164" s="3"/>
      <c r="F164" s="3"/>
      <c r="G164" s="3"/>
      <c r="H164" s="3"/>
      <c r="I164" s="3"/>
      <c r="J164" s="3"/>
      <c r="K164" s="3"/>
      <c r="L164" s="3"/>
      <c r="M164" s="4"/>
      <c r="N164" s="14"/>
      <c r="O164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3"/>
  <sheetViews>
    <sheetView workbookViewId="0"/>
  </sheetViews>
  <sheetFormatPr defaultRowHeight="15"/>
  <cols>
    <col min="1" max="1" width="49.7109375" customWidth="1"/>
    <col min="2" max="2" width="14.42578125" customWidth="1"/>
    <col min="15" max="15" width="48.5703125" customWidth="1"/>
    <col min="16" max="16" width="25.7109375" customWidth="1"/>
    <col min="17" max="17" width="18.42578125" customWidth="1"/>
  </cols>
  <sheetData>
    <row r="1" spans="1:27" ht="29.333333333333332" customHeight="1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8" t="s">
        <v>12</v>
      </c>
      <c r="N1" s="5">
        <v>2026</v>
      </c>
      <c r="O1" s="32" t="s">
        <v>0</v>
      </c>
      <c r="P1" s="2" t="s">
        <v>1</v>
      </c>
      <c r="Q1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4" t="s">
        <v>12</v>
      </c>
    </row>
    <row r="2" spans="1:27">
      <c r="A2" t="s">
        <v>13</v>
      </c>
      <c r="M2" s="8"/>
      <c r="N2" s="10"/>
      <c r="O2" s="33" t="s">
        <v>13</v>
      </c>
    </row>
    <row r="3" spans="1:27">
      <c r="A3" s="2" t="s">
        <v>14</v>
      </c>
      <c r="B3" s="2"/>
      <c r="K3" s="2">
        <v>1246488</v>
      </c>
      <c r="L3" s="2">
        <v>1456091</v>
      </c>
      <c r="M3" s="1">
        <v>1041258</v>
      </c>
      <c r="N3" s="10"/>
      <c r="O3" s="32" t="s">
        <v>14</v>
      </c>
      <c r="P3" s="2">
        <v>81627</v>
      </c>
      <c r="Q3" s="2">
        <v>81627</v>
      </c>
    </row>
    <row r="4" spans="1:27">
      <c r="A4" s="2" t="s">
        <v>16</v>
      </c>
      <c r="B4" s="2">
        <v>6817</v>
      </c>
      <c r="C4" s="2">
        <v>10291</v>
      </c>
      <c r="D4" s="2">
        <v>15965</v>
      </c>
      <c r="E4" s="2">
        <v>23528</v>
      </c>
      <c r="F4" s="2">
        <v>31525</v>
      </c>
      <c r="G4" s="2">
        <v>40826</v>
      </c>
      <c r="H4" s="2">
        <v>47198</v>
      </c>
      <c r="I4" s="2">
        <v>55191</v>
      </c>
      <c r="J4" s="2">
        <v>63285</v>
      </c>
      <c r="K4" s="2">
        <v>73819</v>
      </c>
      <c r="L4" s="2">
        <v>79628</v>
      </c>
      <c r="M4" s="1">
        <v>88922</v>
      </c>
      <c r="N4" s="10"/>
      <c r="O4" s="32" t="s">
        <v>16</v>
      </c>
      <c r="P4" s="2">
        <v>6846.03</v>
      </c>
      <c r="Q4" s="2">
        <v>15067.98</v>
      </c>
    </row>
    <row r="5" spans="1:27">
      <c r="A5" s="2" t="s">
        <v>17</v>
      </c>
      <c r="B5" s="2">
        <v>-13895</v>
      </c>
      <c r="C5" s="2">
        <v>-10950</v>
      </c>
      <c r="D5" s="2">
        <v>11940</v>
      </c>
      <c r="E5" s="2">
        <v>17463</v>
      </c>
      <c r="F5" s="2">
        <v>24346</v>
      </c>
      <c r="G5" s="2">
        <v>33843</v>
      </c>
      <c r="H5" s="2">
        <v>37546</v>
      </c>
      <c r="I5" s="2">
        <v>43814</v>
      </c>
      <c r="J5" s="2">
        <v>47963</v>
      </c>
      <c r="K5" s="2">
        <v>54886</v>
      </c>
      <c r="L5" s="2">
        <v>59439</v>
      </c>
      <c r="M5" s="1">
        <v>64410</v>
      </c>
      <c r="N5" s="10"/>
      <c r="O5" s="32" t="s">
        <v>17</v>
      </c>
      <c r="P5" s="2">
        <v>8645</v>
      </c>
      <c r="Q5" s="2">
        <v>5692</v>
      </c>
    </row>
    <row r="6" spans="1:27">
      <c r="A6" s="2" t="s">
        <v>18</v>
      </c>
      <c r="B6" s="2">
        <v>-266207</v>
      </c>
      <c r="C6">
        <v>326904</v>
      </c>
      <c r="D6">
        <v>479551</v>
      </c>
      <c r="E6">
        <v>631154</v>
      </c>
      <c r="F6">
        <v>787100</v>
      </c>
      <c r="G6">
        <v>948038</v>
      </c>
      <c r="H6">
        <v>1107094</v>
      </c>
      <c r="I6">
        <v>1270180</v>
      </c>
      <c r="J6">
        <v>1426224</v>
      </c>
      <c r="K6">
        <v>1583289</v>
      </c>
      <c r="L6">
        <v>1750329</v>
      </c>
      <c r="M6" s="1">
        <v>1901279</v>
      </c>
      <c r="N6" s="14"/>
      <c r="O6" s="32" t="s">
        <v>18</v>
      </c>
      <c r="P6" s="2">
        <v>176062</v>
      </c>
      <c r="Q6" s="13">
        <v>162821</v>
      </c>
    </row>
    <row r="7" spans="1:27">
      <c r="A7" s="2" t="s">
        <v>19</v>
      </c>
      <c r="B7" s="2">
        <v>7854</v>
      </c>
      <c r="C7">
        <v>14546</v>
      </c>
      <c r="D7">
        <v>21116</v>
      </c>
      <c r="E7" s="2">
        <v>26705</v>
      </c>
      <c r="F7">
        <v>31363</v>
      </c>
      <c r="G7" s="2">
        <v>42290</v>
      </c>
      <c r="H7" s="2">
        <v>53882</v>
      </c>
      <c r="I7">
        <v>59277</v>
      </c>
      <c r="J7" s="2">
        <v>69623</v>
      </c>
      <c r="K7" s="2">
        <v>78704</v>
      </c>
      <c r="L7">
        <v>86597</v>
      </c>
      <c r="M7" s="1">
        <v>98087</v>
      </c>
      <c r="N7" s="14"/>
      <c r="O7" s="32" t="s">
        <v>19</v>
      </c>
      <c r="P7" s="2">
        <v>9126.48</v>
      </c>
      <c r="Q7" s="2">
        <v>16887.4</v>
      </c>
    </row>
    <row r="8" spans="1:27">
      <c r="A8" s="16" t="s">
        <v>20</v>
      </c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34"/>
      <c r="N8" s="14"/>
      <c r="O8" s="35" t="s">
        <v>20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>
      <c r="A9" s="2" t="s">
        <v>22</v>
      </c>
      <c r="B9" s="2">
        <v>3169.34</v>
      </c>
      <c r="C9" s="2">
        <v>5174.59</v>
      </c>
      <c r="D9" s="2">
        <v>10210.58</v>
      </c>
      <c r="E9" s="2">
        <v>11229.26</v>
      </c>
      <c r="F9" s="2">
        <v>13611.86</v>
      </c>
      <c r="G9" s="2">
        <v>15736.94</v>
      </c>
      <c r="H9" s="2">
        <v>18199.84</v>
      </c>
      <c r="I9" s="2">
        <v>20663.04</v>
      </c>
      <c r="J9" s="2">
        <v>22934.54</v>
      </c>
      <c r="K9" s="2">
        <v>25494.98</v>
      </c>
      <c r="L9" s="2">
        <v>28584.07</v>
      </c>
      <c r="M9" s="1">
        <v>30941.56</v>
      </c>
      <c r="N9" s="14"/>
      <c r="O9" s="32" t="s">
        <v>22</v>
      </c>
      <c r="P9" s="2">
        <v>2703.76</v>
      </c>
      <c r="Q9" s="2">
        <v>4208.97</v>
      </c>
    </row>
    <row r="10" spans="1:27">
      <c r="A10" s="2" t="s">
        <v>23</v>
      </c>
      <c r="B10" s="2">
        <v>5562.67</v>
      </c>
      <c r="C10" s="2">
        <v>16179.62</v>
      </c>
      <c r="D10" s="2">
        <v>27233.25</v>
      </c>
      <c r="E10" s="2">
        <v>37618.49</v>
      </c>
      <c r="F10" s="2">
        <v>47466.26</v>
      </c>
      <c r="G10" s="2">
        <v>57963.95</v>
      </c>
      <c r="H10" s="2">
        <v>65448.14</v>
      </c>
      <c r="I10" s="2">
        <v>73794.55</v>
      </c>
      <c r="J10" s="2">
        <v>82879.33</v>
      </c>
      <c r="K10" s="2">
        <v>91285.68</v>
      </c>
      <c r="L10" s="2">
        <v>103769.91</v>
      </c>
      <c r="M10" s="1">
        <v>114227.66</v>
      </c>
      <c r="N10" s="14"/>
      <c r="O10" s="32" t="s">
        <v>23</v>
      </c>
      <c r="P10" s="2">
        <v>9877.01</v>
      </c>
      <c r="Q10" s="2">
        <v>16961.34</v>
      </c>
    </row>
    <row r="11" spans="1:27">
      <c r="A11" s="2" t="s">
        <v>24</v>
      </c>
      <c r="B11" s="2">
        <v>11162</v>
      </c>
      <c r="C11" s="2">
        <v>18379</v>
      </c>
      <c r="D11">
        <v>0</v>
      </c>
      <c r="E11" s="2">
        <v>28021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8">
        <v>0</v>
      </c>
      <c r="N11" s="14"/>
      <c r="O11" s="32" t="s">
        <v>24</v>
      </c>
      <c r="P11">
        <v>0</v>
      </c>
    </row>
    <row r="12" spans="1:27">
      <c r="A12" s="2" t="s">
        <v>25</v>
      </c>
      <c r="B12" s="2">
        <v>6020.55</v>
      </c>
      <c r="C12" s="2">
        <v>11435.84</v>
      </c>
      <c r="D12" s="2">
        <v>16895.95</v>
      </c>
      <c r="E12" s="2">
        <v>22140.2</v>
      </c>
      <c r="F12" s="2">
        <v>28039.37</v>
      </c>
      <c r="G12" s="2">
        <v>34615.47</v>
      </c>
      <c r="H12" s="2">
        <v>40738.64</v>
      </c>
      <c r="I12" s="2">
        <v>48432.5</v>
      </c>
      <c r="J12" s="2">
        <v>55181.07</v>
      </c>
      <c r="K12" s="2">
        <v>62332.88</v>
      </c>
      <c r="L12" s="2">
        <v>67845.76</v>
      </c>
      <c r="M12" s="1">
        <v>59251.35</v>
      </c>
      <c r="N12" s="14"/>
      <c r="O12" s="32" t="s">
        <v>25</v>
      </c>
    </row>
    <row r="13" spans="1:27">
      <c r="A13" s="2" t="s">
        <v>27</v>
      </c>
      <c r="B13" s="2">
        <v>119238</v>
      </c>
      <c r="C13" s="2">
        <v>250777</v>
      </c>
      <c r="D13" s="2">
        <v>362027</v>
      </c>
      <c r="E13" s="2">
        <v>499459</v>
      </c>
      <c r="F13" s="2">
        <v>559076</v>
      </c>
      <c r="G13" s="2">
        <v>675071</v>
      </c>
      <c r="H13" s="2">
        <v>766558</v>
      </c>
      <c r="I13" s="2">
        <v>885628</v>
      </c>
      <c r="J13" s="2">
        <v>954551</v>
      </c>
      <c r="K13" s="2">
        <v>1056531</v>
      </c>
      <c r="L13" s="2">
        <v>1179020</v>
      </c>
      <c r="M13" s="1">
        <v>1303516</v>
      </c>
      <c r="N13" s="14"/>
      <c r="O13" s="32" t="s">
        <v>27</v>
      </c>
      <c r="P13" s="2">
        <v>130552</v>
      </c>
      <c r="Q13" s="13">
        <v>210330</v>
      </c>
    </row>
    <row r="14" spans="1:27">
      <c r="A14" s="2" t="s">
        <v>28</v>
      </c>
      <c r="B14" s="2">
        <v>10.408</v>
      </c>
      <c r="C14">
        <v>8.427</v>
      </c>
      <c r="D14">
        <v>16.836</v>
      </c>
      <c r="E14">
        <v>25.529</v>
      </c>
      <c r="F14">
        <v>35.609</v>
      </c>
      <c r="G14">
        <v>38.995</v>
      </c>
      <c r="H14">
        <v>59.353</v>
      </c>
      <c r="I14">
        <v>66.212</v>
      </c>
      <c r="J14">
        <v>54.059</v>
      </c>
      <c r="K14">
        <v>61.399</v>
      </c>
      <c r="L14">
        <v>70.802</v>
      </c>
      <c r="M14" s="1">
        <v>75874</v>
      </c>
      <c r="N14" s="14"/>
      <c r="O14" s="32" t="s">
        <v>28</v>
      </c>
      <c r="P14" s="2">
        <v>7374</v>
      </c>
      <c r="Q14" s="2">
        <v>12374</v>
      </c>
    </row>
    <row r="15" spans="1:27">
      <c r="A15" s="2" t="s">
        <v>29</v>
      </c>
      <c r="B15" s="2">
        <v>14382</v>
      </c>
      <c r="C15" s="2">
        <v>27969</v>
      </c>
      <c r="D15" s="2">
        <v>42800</v>
      </c>
      <c r="E15" s="2">
        <v>161334</v>
      </c>
      <c r="F15" s="2">
        <v>78918</v>
      </c>
      <c r="G15">
        <v>97.577</v>
      </c>
      <c r="H15" s="2">
        <v>115847</v>
      </c>
      <c r="I15" s="2">
        <v>132655</v>
      </c>
      <c r="J15" s="2">
        <v>146867</v>
      </c>
      <c r="K15">
        <v>161.74</v>
      </c>
      <c r="L15" s="2">
        <v>173615</v>
      </c>
      <c r="M15" s="1">
        <v>189831</v>
      </c>
      <c r="N15" s="14"/>
      <c r="O15" s="32" t="s">
        <v>29</v>
      </c>
      <c r="P15" s="2">
        <v>14919</v>
      </c>
      <c r="Q15" s="2">
        <v>29866</v>
      </c>
    </row>
    <row r="16" spans="1:27">
      <c r="A16" s="2" t="s">
        <v>30</v>
      </c>
      <c r="B16" s="2">
        <v>84604.02</v>
      </c>
      <c r="C16" s="2">
        <v>147551.63</v>
      </c>
      <c r="D16" s="2">
        <v>233885.09</v>
      </c>
      <c r="E16" s="2">
        <v>298691.09</v>
      </c>
      <c r="F16" s="2">
        <v>379490.42</v>
      </c>
      <c r="G16" s="2">
        <v>469483.33</v>
      </c>
      <c r="H16" s="2">
        <v>551525.27</v>
      </c>
      <c r="I16" s="2">
        <v>634817.48</v>
      </c>
      <c r="J16" s="2">
        <v>696188.04</v>
      </c>
      <c r="K16" s="2">
        <v>754238.57</v>
      </c>
      <c r="L16" s="2">
        <v>870675.81</v>
      </c>
      <c r="M16" s="1">
        <v>984409.34</v>
      </c>
      <c r="N16" s="14"/>
      <c r="O16" s="32" t="s">
        <v>30</v>
      </c>
      <c r="P16" s="2">
        <v>67841.48</v>
      </c>
      <c r="Q16" s="13">
        <v>161292.54</v>
      </c>
    </row>
    <row r="17" spans="1:27">
      <c r="A17" s="2" t="s">
        <v>31</v>
      </c>
      <c r="B17" s="2">
        <v>56138</v>
      </c>
      <c r="C17" s="2">
        <v>106019</v>
      </c>
      <c r="D17" s="2">
        <v>178539</v>
      </c>
      <c r="E17" s="2">
        <v>220815</v>
      </c>
      <c r="F17" s="2">
        <v>269706</v>
      </c>
      <c r="G17" s="2">
        <v>312429</v>
      </c>
      <c r="H17" s="2">
        <v>349750</v>
      </c>
      <c r="I17" s="2">
        <v>410461</v>
      </c>
      <c r="J17" s="2">
        <v>433115</v>
      </c>
      <c r="K17" s="2">
        <v>455233</v>
      </c>
      <c r="L17" s="2">
        <v>503273</v>
      </c>
      <c r="M17" s="1">
        <v>553501</v>
      </c>
      <c r="N17" s="14"/>
      <c r="O17" s="32" t="s">
        <v>31</v>
      </c>
      <c r="P17" s="2">
        <v>53357</v>
      </c>
      <c r="Q17" s="13">
        <v>110157</v>
      </c>
    </row>
    <row r="18" spans="1:27">
      <c r="A18" s="2" t="s">
        <v>32</v>
      </c>
      <c r="B18" s="2">
        <v>98.167</v>
      </c>
      <c r="C18">
        <v>20.994</v>
      </c>
      <c r="D18">
        <v>52.605</v>
      </c>
      <c r="E18">
        <v>64.824</v>
      </c>
      <c r="F18">
        <v>24.506</v>
      </c>
      <c r="G18">
        <v>31.917</v>
      </c>
      <c r="H18" s="2">
        <v>17667</v>
      </c>
      <c r="I18" s="2">
        <v>32777</v>
      </c>
      <c r="J18" s="2">
        <v>36978</v>
      </c>
      <c r="K18" s="2">
        <v>36445</v>
      </c>
      <c r="L18" s="2">
        <v>51866</v>
      </c>
      <c r="M18" s="1">
        <v>62549</v>
      </c>
      <c r="N18" s="14"/>
      <c r="O18" s="32" t="s">
        <v>32</v>
      </c>
      <c r="P18" s="2">
        <v>-1335</v>
      </c>
      <c r="Q18" s="2">
        <v>21372</v>
      </c>
    </row>
    <row r="19" spans="1:27">
      <c r="A19" s="2" t="s">
        <v>33</v>
      </c>
      <c r="B19" s="2">
        <v>12887.5</v>
      </c>
      <c r="C19" s="2">
        <v>24316.6</v>
      </c>
      <c r="D19" s="2">
        <v>39489.36</v>
      </c>
      <c r="E19" s="2">
        <v>55144.76</v>
      </c>
      <c r="F19" s="2">
        <v>69954.84</v>
      </c>
      <c r="G19" s="2">
        <v>85191.63</v>
      </c>
      <c r="H19" s="2">
        <v>98484.39</v>
      </c>
      <c r="I19" s="2">
        <v>109919.29</v>
      </c>
      <c r="J19" s="2">
        <v>123769.77</v>
      </c>
      <c r="K19" s="2">
        <v>133360.29</v>
      </c>
      <c r="L19" s="2">
        <v>148169.52</v>
      </c>
      <c r="M19" s="1">
        <v>164791.4</v>
      </c>
      <c r="N19" s="14"/>
      <c r="O19" s="32" t="s">
        <v>33</v>
      </c>
      <c r="P19" s="2">
        <v>13371.4</v>
      </c>
      <c r="Q19" s="2">
        <v>24362.41</v>
      </c>
    </row>
    <row r="20" spans="1:27">
      <c r="A20" s="2" t="s">
        <v>40</v>
      </c>
      <c r="B20" s="2">
        <v>1.585</v>
      </c>
      <c r="C20">
        <v>1.037</v>
      </c>
      <c r="D20">
        <v>-4.933</v>
      </c>
      <c r="E20">
        <v>-4.882</v>
      </c>
      <c r="F20">
        <v>-5.517</v>
      </c>
      <c r="G20">
        <v>946</v>
      </c>
      <c r="H20">
        <v>9.103</v>
      </c>
      <c r="I20" s="2">
        <v>26866</v>
      </c>
      <c r="J20" s="2">
        <v>32001</v>
      </c>
      <c r="K20">
        <v>0</v>
      </c>
      <c r="L20" s="2">
        <v>28664</v>
      </c>
      <c r="M20" s="1">
        <v>49399</v>
      </c>
      <c r="N20" s="14"/>
      <c r="O20" s="32" t="s">
        <v>40</v>
      </c>
    </row>
    <row r="21" spans="1:27">
      <c r="A21" s="2" t="s">
        <v>42</v>
      </c>
      <c r="B21" s="2">
        <v>26136</v>
      </c>
      <c r="C21">
        <v>48580</v>
      </c>
      <c r="D21">
        <v>75555</v>
      </c>
      <c r="E21">
        <v>102436</v>
      </c>
      <c r="F21">
        <v>129054</v>
      </c>
      <c r="G21">
        <v>154769</v>
      </c>
      <c r="H21">
        <v>190828</v>
      </c>
      <c r="I21">
        <v>207799</v>
      </c>
      <c r="J21">
        <v>233828</v>
      </c>
      <c r="K21">
        <v>260779</v>
      </c>
      <c r="L21">
        <v>288210</v>
      </c>
      <c r="M21" s="1">
        <v>310947</v>
      </c>
      <c r="N21" s="14"/>
      <c r="O21" s="32" t="s">
        <v>42</v>
      </c>
      <c r="P21" s="2">
        <v>25847</v>
      </c>
      <c r="Q21" s="2">
        <v>50210</v>
      </c>
    </row>
    <row r="22" spans="1:27">
      <c r="A22" s="2" t="s">
        <v>43</v>
      </c>
      <c r="B22" s="2">
        <v>-2340</v>
      </c>
      <c r="C22" s="2">
        <v>2958</v>
      </c>
      <c r="D22" s="2">
        <v>12033</v>
      </c>
      <c r="E22" s="2">
        <v>17966</v>
      </c>
      <c r="F22" s="2">
        <v>61457</v>
      </c>
      <c r="G22" s="2">
        <v>72428</v>
      </c>
      <c r="H22" s="2">
        <v>78223</v>
      </c>
      <c r="I22" s="2">
        <v>95296</v>
      </c>
      <c r="J22" s="2">
        <v>101934</v>
      </c>
      <c r="K22" s="2">
        <v>113060</v>
      </c>
      <c r="L22" s="2">
        <v>111720</v>
      </c>
      <c r="M22" s="1">
        <v>125256</v>
      </c>
      <c r="N22" s="14"/>
      <c r="O22" s="32" t="s">
        <v>43</v>
      </c>
      <c r="P22" s="2">
        <v>7979</v>
      </c>
      <c r="Q22" s="2">
        <v>19624</v>
      </c>
    </row>
    <row r="23" spans="1:27">
      <c r="A23" s="2" t="s">
        <v>44</v>
      </c>
      <c r="B23" s="2">
        <v>7850</v>
      </c>
      <c r="C23" s="2">
        <v>16932</v>
      </c>
      <c r="D23" s="2">
        <v>27033</v>
      </c>
      <c r="E23" s="2">
        <v>31496</v>
      </c>
      <c r="F23" s="2">
        <v>38150</v>
      </c>
      <c r="G23" s="2">
        <v>50383</v>
      </c>
      <c r="H23" s="2">
        <v>54924</v>
      </c>
      <c r="I23" s="2">
        <v>53524</v>
      </c>
      <c r="J23" s="2">
        <v>61922</v>
      </c>
      <c r="K23" s="2">
        <v>77812</v>
      </c>
      <c r="L23" s="2">
        <v>78376</v>
      </c>
      <c r="M23" s="1">
        <v>54319</v>
      </c>
      <c r="N23" s="14"/>
      <c r="O23" s="32" t="s">
        <v>44</v>
      </c>
      <c r="P23" s="2">
        <v>-2898</v>
      </c>
      <c r="Q23">
        <v>21</v>
      </c>
    </row>
    <row r="24" spans="1:27">
      <c r="A24" s="2" t="s">
        <v>45</v>
      </c>
      <c r="B24" s="2">
        <v>38.022</v>
      </c>
      <c r="C24">
        <v>61650</v>
      </c>
      <c r="D24">
        <v>101.208</v>
      </c>
      <c r="E24">
        <v>137.873</v>
      </c>
      <c r="F24">
        <v>178.263</v>
      </c>
      <c r="G24">
        <v>215.014</v>
      </c>
      <c r="H24" s="2">
        <v>258872</v>
      </c>
      <c r="I24" s="2">
        <v>280866</v>
      </c>
      <c r="J24">
        <v>308260</v>
      </c>
      <c r="K24" s="2">
        <v>363528</v>
      </c>
      <c r="L24" s="2">
        <v>411755</v>
      </c>
      <c r="M24" s="1">
        <v>456405</v>
      </c>
      <c r="N24" s="14"/>
      <c r="O24" s="32" t="s">
        <v>45</v>
      </c>
      <c r="P24" s="2">
        <v>32496</v>
      </c>
    </row>
    <row r="25" spans="1:27">
      <c r="A25" s="2" t="s">
        <v>51</v>
      </c>
      <c r="B25" s="2">
        <v>6.201</v>
      </c>
      <c r="C25">
        <v>10.036</v>
      </c>
      <c r="D25">
        <v>15.783</v>
      </c>
      <c r="E25">
        <v>18.152</v>
      </c>
      <c r="F25">
        <v>22.543</v>
      </c>
      <c r="G25">
        <v>27.571</v>
      </c>
      <c r="H25">
        <v>34.003</v>
      </c>
      <c r="I25">
        <v>40759</v>
      </c>
      <c r="J25">
        <v>46.458</v>
      </c>
      <c r="K25">
        <v>53.426</v>
      </c>
      <c r="L25">
        <v>60.984</v>
      </c>
      <c r="M25" s="8">
        <v>71.974</v>
      </c>
      <c r="N25" s="14"/>
      <c r="O25" s="32" t="s">
        <v>51</v>
      </c>
      <c r="P25" s="2">
        <v>-5039</v>
      </c>
      <c r="Q25">
        <v>465</v>
      </c>
    </row>
    <row r="26" spans="1:27">
      <c r="A26" s="2" t="s">
        <v>52</v>
      </c>
      <c r="B26" s="2">
        <v>-40860</v>
      </c>
      <c r="C26">
        <v>80199</v>
      </c>
      <c r="D26">
        <v>222858</v>
      </c>
      <c r="E26">
        <v>423121</v>
      </c>
      <c r="F26">
        <v>495172</v>
      </c>
      <c r="G26">
        <v>540825</v>
      </c>
      <c r="H26">
        <v>869580</v>
      </c>
      <c r="I26">
        <v>881142</v>
      </c>
      <c r="J26">
        <v>838806</v>
      </c>
      <c r="K26">
        <v>949865</v>
      </c>
      <c r="L26">
        <v>896368</v>
      </c>
      <c r="M26" s="8">
        <v>1282705</v>
      </c>
      <c r="N26" s="14"/>
      <c r="O26" s="32" t="s">
        <v>52</v>
      </c>
      <c r="P26" s="2">
        <v>77736</v>
      </c>
      <c r="Q26" s="13">
        <v>217199</v>
      </c>
    </row>
    <row r="27" spans="1:27">
      <c r="A27" s="16" t="s">
        <v>53</v>
      </c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34"/>
      <c r="N27" s="14"/>
      <c r="O27" s="35" t="s">
        <v>53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>
      <c r="A28" s="2" t="s">
        <v>55</v>
      </c>
      <c r="B28" s="2">
        <v>31970</v>
      </c>
      <c r="C28">
        <v>92.605</v>
      </c>
      <c r="D28">
        <v>118.604</v>
      </c>
      <c r="E28">
        <v>136.323</v>
      </c>
      <c r="F28">
        <v>148.117</v>
      </c>
      <c r="G28">
        <v>252.027</v>
      </c>
      <c r="H28">
        <v>260.611</v>
      </c>
      <c r="I28">
        <v>285.219</v>
      </c>
      <c r="J28">
        <v>299.423</v>
      </c>
      <c r="K28">
        <v>317.283</v>
      </c>
      <c r="L28">
        <v>310.126</v>
      </c>
      <c r="M28" s="8">
        <v>429.506</v>
      </c>
      <c r="N28" s="14"/>
      <c r="O28" s="32" t="s">
        <v>55</v>
      </c>
      <c r="P28" s="2">
        <v>-28038</v>
      </c>
      <c r="Q28" s="2">
        <v>-36526</v>
      </c>
    </row>
    <row r="29" spans="1:27">
      <c r="A29" s="2" t="s">
        <v>65</v>
      </c>
      <c r="B29" s="2">
        <v>14698</v>
      </c>
      <c r="C29" s="2">
        <v>29791</v>
      </c>
      <c r="D29" s="2">
        <v>45145</v>
      </c>
      <c r="E29" s="2">
        <v>60846</v>
      </c>
      <c r="F29" s="2">
        <v>78249</v>
      </c>
      <c r="G29" s="2">
        <v>92779</v>
      </c>
      <c r="H29" s="2">
        <v>106651</v>
      </c>
      <c r="I29" s="2">
        <v>120899</v>
      </c>
      <c r="J29" s="2">
        <v>137036</v>
      </c>
      <c r="K29" s="2">
        <v>153969</v>
      </c>
      <c r="L29" s="2">
        <v>172705</v>
      </c>
      <c r="M29" s="1">
        <v>186623</v>
      </c>
      <c r="N29" s="14"/>
      <c r="O29" s="32" t="s">
        <v>65</v>
      </c>
      <c r="P29">
        <v>15.935</v>
      </c>
      <c r="Q29" s="2">
        <v>30758</v>
      </c>
    </row>
    <row r="30" spans="1:27">
      <c r="A30" s="2" t="s">
        <v>66</v>
      </c>
      <c r="B30" s="2">
        <v>62738</v>
      </c>
      <c r="C30" s="2">
        <v>113401</v>
      </c>
      <c r="D30" s="2">
        <v>16923</v>
      </c>
      <c r="E30" s="2">
        <v>219456</v>
      </c>
      <c r="F30" s="2">
        <v>268290</v>
      </c>
      <c r="G30" s="2">
        <v>338569</v>
      </c>
      <c r="H30" s="2">
        <v>389718</v>
      </c>
      <c r="I30" s="2">
        <v>444248</v>
      </c>
      <c r="J30" s="2">
        <v>497898</v>
      </c>
      <c r="K30" s="2">
        <v>552689</v>
      </c>
      <c r="L30" s="2">
        <v>607843</v>
      </c>
      <c r="M30" s="1">
        <v>702721</v>
      </c>
      <c r="N30" s="14"/>
      <c r="O30" s="32" t="s">
        <v>66</v>
      </c>
      <c r="P30" s="2">
        <v>67735</v>
      </c>
      <c r="Q30" s="13">
        <v>110921</v>
      </c>
    </row>
    <row r="31" spans="1:27">
      <c r="A31" s="2" t="s">
        <v>67</v>
      </c>
      <c r="B31" s="2">
        <v>4769</v>
      </c>
      <c r="C31" s="2">
        <v>14749</v>
      </c>
      <c r="D31" s="2">
        <v>27471</v>
      </c>
      <c r="E31" s="2">
        <v>33466</v>
      </c>
      <c r="F31" s="2">
        <v>39963</v>
      </c>
      <c r="G31" s="2">
        <v>46454</v>
      </c>
      <c r="H31" s="2">
        <v>43754</v>
      </c>
      <c r="I31" s="2">
        <v>34295</v>
      </c>
      <c r="J31" s="2">
        <v>31742</v>
      </c>
      <c r="K31" s="2">
        <v>31157</v>
      </c>
      <c r="L31" s="2">
        <v>40555</v>
      </c>
      <c r="M31" s="1">
        <v>20125</v>
      </c>
      <c r="N31" s="14"/>
      <c r="O31" s="32" t="s">
        <v>67</v>
      </c>
      <c r="P31" s="2">
        <v>1506</v>
      </c>
      <c r="Q31" s="2">
        <v>13640</v>
      </c>
    </row>
    <row r="32" spans="1:27">
      <c r="A32" s="2" t="s">
        <v>68</v>
      </c>
      <c r="B32" s="2">
        <v>7251</v>
      </c>
      <c r="C32" s="2">
        <v>15538</v>
      </c>
      <c r="D32" s="2">
        <v>24048</v>
      </c>
      <c r="E32" s="2">
        <v>33018</v>
      </c>
      <c r="F32" s="2">
        <v>42470</v>
      </c>
      <c r="G32" s="2">
        <v>50794</v>
      </c>
      <c r="H32" s="2">
        <v>58438</v>
      </c>
      <c r="I32" s="2">
        <v>64493</v>
      </c>
      <c r="J32" s="2">
        <v>72291</v>
      </c>
      <c r="K32" s="2">
        <v>81120</v>
      </c>
      <c r="L32" s="2">
        <v>90378</v>
      </c>
      <c r="M32" s="1">
        <v>103609</v>
      </c>
      <c r="N32" s="14"/>
      <c r="O32" s="32" t="s">
        <v>68</v>
      </c>
      <c r="P32" s="2">
        <v>10209</v>
      </c>
      <c r="Q32" s="2">
        <v>18628</v>
      </c>
    </row>
    <row r="33" spans="1:27">
      <c r="A33" s="2" t="s">
        <v>69</v>
      </c>
      <c r="B33" s="2">
        <v>23720</v>
      </c>
      <c r="C33" s="2">
        <v>45220</v>
      </c>
      <c r="D33" s="2">
        <v>76233</v>
      </c>
      <c r="E33" s="2">
        <v>105720</v>
      </c>
      <c r="F33" s="2">
        <v>133743</v>
      </c>
      <c r="G33" s="2">
        <v>153640</v>
      </c>
      <c r="H33" s="2">
        <v>187864</v>
      </c>
      <c r="I33" s="2">
        <v>208540</v>
      </c>
      <c r="J33" s="2">
        <v>222206</v>
      </c>
      <c r="K33" s="2">
        <v>249779</v>
      </c>
      <c r="L33" s="2">
        <v>273054</v>
      </c>
      <c r="M33" s="1">
        <v>292883</v>
      </c>
      <c r="N33" s="14"/>
      <c r="O33" s="32" t="s">
        <v>69</v>
      </c>
      <c r="P33" s="2">
        <v>22219</v>
      </c>
      <c r="Q33" s="2">
        <v>56912</v>
      </c>
    </row>
    <row r="34" spans="1:27">
      <c r="A34" s="2" t="s">
        <v>70</v>
      </c>
      <c r="B34" s="2">
        <v>3.432</v>
      </c>
      <c r="C34">
        <v>6.641</v>
      </c>
      <c r="D34">
        <v>9.642</v>
      </c>
      <c r="E34">
        <v>12.261</v>
      </c>
      <c r="F34">
        <v>15.906</v>
      </c>
      <c r="G34" s="2">
        <v>18540</v>
      </c>
      <c r="H34">
        <v>21.084</v>
      </c>
      <c r="I34">
        <v>23.047</v>
      </c>
      <c r="J34">
        <v>25.245</v>
      </c>
      <c r="K34">
        <v>29.234</v>
      </c>
      <c r="L34">
        <v>28.945</v>
      </c>
      <c r="M34" s="1">
        <v>31734</v>
      </c>
      <c r="N34" s="14"/>
      <c r="O34" s="32" t="s">
        <v>70</v>
      </c>
      <c r="P34">
        <v>3.219</v>
      </c>
      <c r="Q34" s="2">
        <v>6024</v>
      </c>
    </row>
    <row r="35" spans="1:27">
      <c r="A35" s="2" t="s">
        <v>71</v>
      </c>
      <c r="B35" s="2">
        <v>5289.75</v>
      </c>
      <c r="C35" s="2">
        <v>-10324.34</v>
      </c>
      <c r="D35" s="2">
        <v>-11259.35</v>
      </c>
      <c r="E35" s="2">
        <v>5400.79</v>
      </c>
      <c r="F35" s="2">
        <v>16059.59</v>
      </c>
      <c r="G35" s="2">
        <v>56941.8</v>
      </c>
      <c r="H35" s="2">
        <v>52542.37</v>
      </c>
      <c r="I35" s="2">
        <v>53338.21</v>
      </c>
      <c r="J35" s="2">
        <v>101710.13</v>
      </c>
      <c r="K35" s="2">
        <v>112671.95</v>
      </c>
      <c r="L35" s="2">
        <v>131106.2</v>
      </c>
      <c r="M35" s="1">
        <v>140500</v>
      </c>
      <c r="N35" s="14"/>
      <c r="O35" s="32" t="s">
        <v>71</v>
      </c>
      <c r="P35" s="2">
        <v>6373.3</v>
      </c>
      <c r="Q35" s="2">
        <v>19181.55</v>
      </c>
    </row>
    <row r="36" spans="1:27">
      <c r="A36" s="2" t="s">
        <v>72</v>
      </c>
      <c r="B36" s="2">
        <v>12692</v>
      </c>
      <c r="C36" s="2">
        <v>45479</v>
      </c>
      <c r="D36" s="2">
        <v>84686</v>
      </c>
      <c r="E36" s="2">
        <v>130948</v>
      </c>
      <c r="F36" s="2">
        <v>165375</v>
      </c>
      <c r="G36" s="2">
        <v>206604</v>
      </c>
      <c r="H36" s="2">
        <v>255634</v>
      </c>
      <c r="I36" s="2">
        <v>290308</v>
      </c>
      <c r="J36" s="2">
        <v>319852</v>
      </c>
      <c r="K36" s="2">
        <v>355127</v>
      </c>
      <c r="L36" s="2">
        <v>383941</v>
      </c>
      <c r="M36" s="1">
        <v>446337</v>
      </c>
      <c r="N36" s="14"/>
      <c r="O36" s="32" t="s">
        <v>72</v>
      </c>
      <c r="P36" s="2">
        <v>47672</v>
      </c>
      <c r="Q36" s="2">
        <v>68171</v>
      </c>
    </row>
    <row r="37" spans="1:27">
      <c r="A37" s="2" t="s">
        <v>73</v>
      </c>
      <c r="B37" s="2">
        <v>89710</v>
      </c>
      <c r="C37">
        <v>195.622</v>
      </c>
      <c r="D37">
        <v>332.716</v>
      </c>
      <c r="E37">
        <v>450.402</v>
      </c>
      <c r="F37">
        <v>542.617</v>
      </c>
      <c r="G37">
        <v>553.752</v>
      </c>
      <c r="H37">
        <v>676.358</v>
      </c>
      <c r="I37" s="2">
        <v>741495</v>
      </c>
      <c r="J37">
        <v>850.357</v>
      </c>
      <c r="K37">
        <v>933.452</v>
      </c>
      <c r="L37">
        <v>986.419</v>
      </c>
      <c r="M37" s="1">
        <v>1101498</v>
      </c>
      <c r="N37" s="14"/>
      <c r="O37" s="32" t="s">
        <v>73</v>
      </c>
      <c r="P37" s="2">
        <v>113001</v>
      </c>
      <c r="Q37" s="13">
        <v>309594</v>
      </c>
    </row>
    <row r="38" spans="1:27">
      <c r="A38" s="2" t="s">
        <v>82</v>
      </c>
      <c r="B38" s="2">
        <v>13.963</v>
      </c>
      <c r="C38">
        <v>25.878</v>
      </c>
      <c r="D38">
        <v>39.581</v>
      </c>
      <c r="E38">
        <v>53.092</v>
      </c>
      <c r="F38">
        <v>67.144</v>
      </c>
      <c r="G38">
        <v>81.473</v>
      </c>
      <c r="H38">
        <v>95.214</v>
      </c>
      <c r="I38">
        <v>110.771</v>
      </c>
      <c r="J38">
        <v>124.533</v>
      </c>
      <c r="K38">
        <v>138.658</v>
      </c>
      <c r="L38">
        <v>153.756</v>
      </c>
      <c r="M38" s="1">
        <v>167540</v>
      </c>
      <c r="N38" s="14"/>
      <c r="O38" s="32" t="s">
        <v>82</v>
      </c>
      <c r="P38" s="2">
        <v>14490</v>
      </c>
      <c r="Q38" s="2">
        <v>27436</v>
      </c>
    </row>
    <row r="39" spans="1:27">
      <c r="A39" s="2" t="s">
        <v>83</v>
      </c>
      <c r="B39" s="2">
        <v>6.833</v>
      </c>
      <c r="C39">
        <v>13.324</v>
      </c>
      <c r="D39">
        <v>18.549</v>
      </c>
      <c r="E39">
        <v>26.784</v>
      </c>
      <c r="F39">
        <v>47.321</v>
      </c>
      <c r="G39">
        <v>46.526</v>
      </c>
      <c r="H39" s="2">
        <v>63613</v>
      </c>
      <c r="I39" s="2">
        <v>85286</v>
      </c>
      <c r="J39">
        <v>88.965</v>
      </c>
      <c r="K39" s="2">
        <v>103353</v>
      </c>
      <c r="L39" s="2">
        <v>114234</v>
      </c>
      <c r="M39" s="1">
        <v>128667</v>
      </c>
      <c r="N39" s="14"/>
      <c r="O39" s="32" t="s">
        <v>83</v>
      </c>
      <c r="P39" s="2">
        <v>9558</v>
      </c>
      <c r="Q39" s="2">
        <v>19639</v>
      </c>
    </row>
    <row r="40" spans="1:27">
      <c r="A40" s="2" t="s">
        <v>84</v>
      </c>
      <c r="B40" s="2">
        <v>33428</v>
      </c>
      <c r="C40" s="2">
        <v>54868</v>
      </c>
      <c r="D40">
        <v>86.707</v>
      </c>
      <c r="E40" s="2">
        <v>112160</v>
      </c>
      <c r="F40" s="2">
        <v>139309</v>
      </c>
      <c r="G40" s="2">
        <v>155343</v>
      </c>
      <c r="H40" s="2">
        <v>186063</v>
      </c>
      <c r="I40" s="2">
        <v>210927</v>
      </c>
      <c r="J40" s="2">
        <v>139426</v>
      </c>
      <c r="K40" s="2">
        <v>176089</v>
      </c>
      <c r="L40" s="2">
        <v>206070</v>
      </c>
      <c r="M40" s="1">
        <v>231390</v>
      </c>
      <c r="N40" s="14"/>
      <c r="O40" s="32" t="s">
        <v>84</v>
      </c>
      <c r="P40" s="2">
        <v>42972</v>
      </c>
      <c r="Q40" s="2">
        <v>78939</v>
      </c>
    </row>
    <row r="41" spans="1:27">
      <c r="A41" s="2" t="s">
        <v>85</v>
      </c>
      <c r="B41" s="2">
        <v>155622</v>
      </c>
      <c r="C41" s="2">
        <v>311851</v>
      </c>
      <c r="D41" s="2">
        <v>395575</v>
      </c>
      <c r="E41" s="2">
        <v>442633</v>
      </c>
      <c r="F41" s="2">
        <v>557859</v>
      </c>
      <c r="G41" s="2">
        <v>612013</v>
      </c>
      <c r="H41" s="2">
        <v>620694</v>
      </c>
      <c r="I41" s="2">
        <v>619135</v>
      </c>
      <c r="J41" s="2">
        <v>913204</v>
      </c>
      <c r="K41" s="2">
        <v>1699294</v>
      </c>
      <c r="L41" t="s">
        <v>484</v>
      </c>
      <c r="M41" s="8">
        <v>-98.385</v>
      </c>
      <c r="N41" s="14"/>
      <c r="O41" s="32" t="s">
        <v>85</v>
      </c>
      <c r="Q41">
        <v>5045</v>
      </c>
    </row>
    <row r="42" spans="1:27">
      <c r="A42" s="2" t="s">
        <v>88</v>
      </c>
      <c r="B42" s="2">
        <v>2684.93</v>
      </c>
      <c r="C42" s="2">
        <v>5132.35</v>
      </c>
      <c r="D42" s="2">
        <v>8147.17</v>
      </c>
      <c r="E42" s="2">
        <v>9844.6</v>
      </c>
      <c r="F42" s="2">
        <v>12587.77</v>
      </c>
      <c r="G42" s="2">
        <v>14835.82</v>
      </c>
      <c r="H42" s="2">
        <v>15934.89</v>
      </c>
      <c r="I42" s="2">
        <v>17940.47</v>
      </c>
      <c r="J42" s="2">
        <v>19119.48</v>
      </c>
      <c r="K42" s="2">
        <v>20531.37</v>
      </c>
      <c r="L42" s="2">
        <v>22490.51</v>
      </c>
      <c r="M42" s="1">
        <v>22759</v>
      </c>
      <c r="N42" s="14"/>
      <c r="O42" s="32" t="s">
        <v>88</v>
      </c>
      <c r="P42" s="2">
        <v>2255.97</v>
      </c>
      <c r="Q42" s="2">
        <v>4094.62</v>
      </c>
    </row>
    <row r="43" spans="1:27">
      <c r="A43" s="2" t="s">
        <v>89</v>
      </c>
      <c r="B43" s="2">
        <v>1619</v>
      </c>
      <c r="C43" s="2">
        <v>2902</v>
      </c>
      <c r="D43" s="2">
        <v>4839</v>
      </c>
      <c r="E43">
        <v>6.742</v>
      </c>
      <c r="F43" s="2">
        <v>8253</v>
      </c>
      <c r="G43" s="2">
        <v>10124</v>
      </c>
      <c r="H43">
        <v>11.623</v>
      </c>
      <c r="I43" s="2">
        <v>13132</v>
      </c>
      <c r="J43" s="2">
        <v>14870</v>
      </c>
      <c r="K43">
        <v>17.107</v>
      </c>
      <c r="L43">
        <v>18.719</v>
      </c>
      <c r="M43" s="1">
        <v>19710</v>
      </c>
      <c r="N43" s="14"/>
      <c r="O43" s="32" t="s">
        <v>89</v>
      </c>
      <c r="P43" s="2">
        <v>2081</v>
      </c>
      <c r="Q43" s="2">
        <v>3747</v>
      </c>
    </row>
    <row r="44" spans="1:27">
      <c r="A44" s="2" t="s">
        <v>90</v>
      </c>
      <c r="B44" s="2">
        <v>9155.59</v>
      </c>
      <c r="C44" s="2">
        <v>-7609.71</v>
      </c>
      <c r="D44" s="2">
        <v>-4456.13</v>
      </c>
      <c r="E44" s="2">
        <v>-10098.15</v>
      </c>
      <c r="F44" s="2">
        <v>-8135</v>
      </c>
      <c r="G44" s="2">
        <v>-3837.84</v>
      </c>
      <c r="H44" s="2">
        <v>-4181.34</v>
      </c>
      <c r="I44" s="2">
        <v>-4181.34</v>
      </c>
      <c r="J44" s="2">
        <v>16014.74</v>
      </c>
      <c r="K44" s="2">
        <v>34537.8</v>
      </c>
      <c r="L44" s="2">
        <v>-2122.09</v>
      </c>
      <c r="M44" s="1">
        <v>-2463.24</v>
      </c>
      <c r="N44" s="14"/>
      <c r="O44" s="32" t="s">
        <v>90</v>
      </c>
      <c r="P44" s="2">
        <v>-5207.66</v>
      </c>
    </row>
    <row r="45" spans="1:27">
      <c r="A45" s="2" t="s">
        <v>91</v>
      </c>
      <c r="B45" s="2">
        <v>47355</v>
      </c>
      <c r="C45" s="2">
        <v>66842</v>
      </c>
      <c r="D45" s="2">
        <v>119593</v>
      </c>
      <c r="E45">
        <v>157.949</v>
      </c>
      <c r="F45">
        <v>205.948</v>
      </c>
      <c r="G45">
        <v>266.524</v>
      </c>
      <c r="H45">
        <v>303.656</v>
      </c>
      <c r="I45">
        <v>333.903</v>
      </c>
      <c r="J45">
        <v>350.695</v>
      </c>
      <c r="K45">
        <v>400.209</v>
      </c>
      <c r="L45">
        <v>443.336</v>
      </c>
      <c r="M45" s="1">
        <v>462029</v>
      </c>
      <c r="N45" s="14"/>
      <c r="O45" s="32" t="s">
        <v>91</v>
      </c>
      <c r="P45" s="2">
        <v>38729</v>
      </c>
      <c r="Q45" s="2">
        <v>65545</v>
      </c>
    </row>
    <row r="46" spans="1:27">
      <c r="A46" s="2" t="s">
        <v>100</v>
      </c>
      <c r="B46" s="2">
        <v>15883</v>
      </c>
      <c r="C46" s="2">
        <v>21062</v>
      </c>
      <c r="D46" s="2">
        <v>40533</v>
      </c>
      <c r="E46" s="2">
        <v>45892</v>
      </c>
      <c r="F46" s="2">
        <v>60464</v>
      </c>
      <c r="G46" s="2">
        <v>65091</v>
      </c>
      <c r="H46" s="2">
        <v>82311</v>
      </c>
      <c r="I46" s="2">
        <v>93419</v>
      </c>
      <c r="J46" s="2">
        <v>105466</v>
      </c>
      <c r="K46" s="2">
        <v>114125</v>
      </c>
      <c r="L46" s="2">
        <v>123623</v>
      </c>
      <c r="M46" s="1">
        <v>124250</v>
      </c>
      <c r="N46" s="14"/>
      <c r="O46" s="32" t="s">
        <v>100</v>
      </c>
      <c r="P46" s="2">
        <v>11751</v>
      </c>
      <c r="Q46" s="2">
        <v>20689</v>
      </c>
    </row>
    <row r="47" spans="1:27">
      <c r="A47" s="2" t="s">
        <v>101</v>
      </c>
      <c r="B47" s="2">
        <v>12076</v>
      </c>
      <c r="C47" s="2">
        <v>32160</v>
      </c>
      <c r="D47" s="2">
        <v>62688</v>
      </c>
      <c r="E47" s="2">
        <v>84242</v>
      </c>
      <c r="F47" s="2">
        <v>108520</v>
      </c>
      <c r="G47" s="2">
        <v>130155</v>
      </c>
      <c r="H47" s="2">
        <v>143978</v>
      </c>
      <c r="I47" s="2">
        <v>163379</v>
      </c>
      <c r="J47" s="2">
        <v>189160</v>
      </c>
      <c r="K47" s="2">
        <v>212463</v>
      </c>
      <c r="L47" s="2">
        <v>237884</v>
      </c>
      <c r="M47" s="1">
        <v>251069</v>
      </c>
      <c r="N47" s="14"/>
      <c r="O47" s="32" t="s">
        <v>101</v>
      </c>
      <c r="P47" s="2">
        <v>24782</v>
      </c>
      <c r="Q47" s="2">
        <v>46262</v>
      </c>
    </row>
    <row r="48" spans="1:27">
      <c r="A48" s="2" t="s">
        <v>102</v>
      </c>
      <c r="B48" s="2">
        <v>30.298</v>
      </c>
      <c r="C48">
        <v>-86.02</v>
      </c>
      <c r="D48" s="2">
        <v>-31107</v>
      </c>
      <c r="E48">
        <v>106.976</v>
      </c>
      <c r="F48">
        <v>286.664</v>
      </c>
      <c r="G48">
        <v>370.242</v>
      </c>
      <c r="H48">
        <v>326.434</v>
      </c>
      <c r="I48">
        <v>797.231</v>
      </c>
      <c r="J48" s="2">
        <v>1059968</v>
      </c>
      <c r="K48" s="2">
        <v>722578</v>
      </c>
      <c r="L48" s="2">
        <v>96318</v>
      </c>
      <c r="M48" s="1">
        <v>208067</v>
      </c>
      <c r="N48" s="14"/>
      <c r="O48" s="32" t="s">
        <v>102</v>
      </c>
      <c r="P48" s="2">
        <v>165888</v>
      </c>
    </row>
    <row r="49" spans="1:27">
      <c r="A49" s="2" t="s">
        <v>108</v>
      </c>
      <c r="B49" s="2">
        <v>3566.52</v>
      </c>
      <c r="C49">
        <v>-848.53</v>
      </c>
      <c r="D49" s="2">
        <v>2928.81</v>
      </c>
      <c r="E49" s="2">
        <v>4581.63</v>
      </c>
      <c r="F49" s="2">
        <v>1378.27</v>
      </c>
      <c r="G49" s="2">
        <v>7328.59</v>
      </c>
      <c r="H49" s="2">
        <v>12728.76</v>
      </c>
      <c r="I49" s="2">
        <v>16631.08</v>
      </c>
      <c r="J49" s="2">
        <v>20232.86</v>
      </c>
      <c r="K49" s="2">
        <v>20232.86</v>
      </c>
      <c r="L49" s="2">
        <v>26234.74</v>
      </c>
      <c r="M49" s="1">
        <v>36593</v>
      </c>
      <c r="N49" s="14"/>
      <c r="O49" s="32" t="s">
        <v>108</v>
      </c>
      <c r="P49" s="2">
        <v>-8114.18</v>
      </c>
      <c r="Q49" s="2">
        <v>-3463.39</v>
      </c>
    </row>
    <row r="50" spans="1:27">
      <c r="A50" s="2" t="s">
        <v>109</v>
      </c>
      <c r="B50" s="2">
        <v>18985.24</v>
      </c>
      <c r="C50" s="2">
        <v>32349.8</v>
      </c>
      <c r="D50" s="2">
        <v>51661.05</v>
      </c>
      <c r="E50" s="2">
        <v>70502.26</v>
      </c>
      <c r="F50" s="2">
        <v>90233.04</v>
      </c>
      <c r="G50" s="2">
        <v>112650.76</v>
      </c>
      <c r="H50" s="2">
        <v>129878.53</v>
      </c>
      <c r="I50" s="2">
        <v>151312.61</v>
      </c>
      <c r="J50" s="2">
        <v>165871.62</v>
      </c>
      <c r="K50" s="2">
        <v>182161.08</v>
      </c>
      <c r="L50" s="2">
        <v>205442.87</v>
      </c>
      <c r="M50" s="1">
        <v>219976</v>
      </c>
      <c r="N50" s="14"/>
      <c r="O50" s="32" t="s">
        <v>109</v>
      </c>
      <c r="P50" s="2">
        <v>16851.44</v>
      </c>
      <c r="Q50" s="2">
        <v>36998.89</v>
      </c>
    </row>
    <row r="51" spans="1:27">
      <c r="A51" s="2" t="s">
        <v>110</v>
      </c>
      <c r="B51" s="2">
        <v>2567</v>
      </c>
      <c r="C51" s="2">
        <v>6185</v>
      </c>
      <c r="D51" s="2">
        <v>10528</v>
      </c>
      <c r="E51" s="2">
        <v>12001</v>
      </c>
      <c r="F51" s="2">
        <v>16225</v>
      </c>
      <c r="G51" s="2">
        <v>19466</v>
      </c>
      <c r="H51" s="2">
        <v>22447</v>
      </c>
      <c r="I51" s="2">
        <v>26000</v>
      </c>
      <c r="J51" s="2">
        <v>26931</v>
      </c>
      <c r="K51" s="2">
        <v>29547</v>
      </c>
      <c r="L51" s="2">
        <v>33138</v>
      </c>
      <c r="M51" s="1">
        <v>50297</v>
      </c>
      <c r="N51" s="14"/>
      <c r="O51" s="32" t="s">
        <v>110</v>
      </c>
      <c r="P51" s="2">
        <v>1475</v>
      </c>
      <c r="Q51" s="2">
        <v>4168</v>
      </c>
    </row>
    <row r="52" spans="1:27">
      <c r="A52" s="2" t="s">
        <v>111</v>
      </c>
      <c r="B52" s="2">
        <v>3211</v>
      </c>
      <c r="C52" s="2">
        <v>5915</v>
      </c>
      <c r="D52" s="2">
        <v>17852</v>
      </c>
      <c r="E52" s="2">
        <v>26865</v>
      </c>
      <c r="F52" s="2">
        <v>27510</v>
      </c>
      <c r="G52" s="2">
        <v>39182</v>
      </c>
      <c r="H52" s="2">
        <v>50281</v>
      </c>
      <c r="I52" s="2">
        <v>60104</v>
      </c>
      <c r="J52" s="2">
        <v>67006</v>
      </c>
      <c r="K52" s="2">
        <v>70117</v>
      </c>
      <c r="L52" s="2">
        <v>75853</v>
      </c>
      <c r="M52" s="1">
        <v>83842</v>
      </c>
      <c r="N52" s="14"/>
      <c r="O52" s="32" t="s">
        <v>111</v>
      </c>
      <c r="P52" s="2">
        <v>6837</v>
      </c>
      <c r="Q52" s="2">
        <v>11936</v>
      </c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16" t="s">
        <v>112</v>
      </c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34"/>
      <c r="N53" s="14"/>
      <c r="O53" s="35" t="s">
        <v>112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>
      <c r="A54" s="16" t="s">
        <v>114</v>
      </c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34"/>
      <c r="N54" s="14"/>
      <c r="O54" s="35" t="s">
        <v>114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>
      <c r="A55" s="2" t="s">
        <v>116</v>
      </c>
      <c r="B55" s="2">
        <v>68889</v>
      </c>
      <c r="C55" s="2">
        <v>106283</v>
      </c>
      <c r="D55" s="2">
        <v>154982</v>
      </c>
      <c r="E55" s="2">
        <v>231771</v>
      </c>
      <c r="F55" s="2">
        <v>324268</v>
      </c>
      <c r="G55" s="2">
        <v>389787</v>
      </c>
      <c r="H55" s="2">
        <v>473899</v>
      </c>
      <c r="I55" s="2">
        <v>576091</v>
      </c>
      <c r="J55" s="2">
        <v>632667</v>
      </c>
      <c r="K55" s="2">
        <v>716194</v>
      </c>
      <c r="L55" s="2">
        <v>77245</v>
      </c>
      <c r="M55" s="1">
        <v>856634</v>
      </c>
      <c r="N55" s="14"/>
      <c r="O55" s="32" t="s">
        <v>116</v>
      </c>
      <c r="P55" s="2">
        <v>72817</v>
      </c>
      <c r="Q55" s="13">
        <v>151433</v>
      </c>
    </row>
    <row r="56" spans="1:27">
      <c r="A56" s="2" t="s">
        <v>117</v>
      </c>
      <c r="B56" s="2">
        <v>29212</v>
      </c>
      <c r="C56" s="2">
        <v>46877</v>
      </c>
      <c r="D56" s="2">
        <v>74118</v>
      </c>
      <c r="E56" s="2">
        <v>99371</v>
      </c>
      <c r="F56" s="2">
        <v>134882</v>
      </c>
      <c r="G56" s="2">
        <v>156711</v>
      </c>
      <c r="H56" s="2">
        <v>197302</v>
      </c>
      <c r="I56" s="2">
        <v>212804</v>
      </c>
      <c r="J56" s="2">
        <v>238984</v>
      </c>
      <c r="K56" s="2">
        <v>272253</v>
      </c>
      <c r="L56" s="2">
        <v>294695</v>
      </c>
      <c r="M56" s="1">
        <v>323725</v>
      </c>
      <c r="N56" s="14"/>
      <c r="O56" s="32" t="s">
        <v>117</v>
      </c>
      <c r="P56" s="2">
        <v>27229</v>
      </c>
      <c r="Q56" s="2">
        <v>52890</v>
      </c>
    </row>
    <row r="57" spans="1:27">
      <c r="A57" s="2" t="s">
        <v>118</v>
      </c>
      <c r="B57" s="2">
        <v>39532</v>
      </c>
      <c r="C57" s="2">
        <v>74440</v>
      </c>
      <c r="D57" s="2">
        <v>126386</v>
      </c>
      <c r="E57" s="2">
        <v>178969</v>
      </c>
      <c r="F57" s="2">
        <v>225873</v>
      </c>
      <c r="G57" s="2">
        <v>273162</v>
      </c>
      <c r="H57" s="2">
        <v>318498</v>
      </c>
      <c r="I57" s="2">
        <v>378698</v>
      </c>
      <c r="J57" s="2">
        <v>413894</v>
      </c>
      <c r="K57" s="2">
        <v>451543</v>
      </c>
      <c r="L57" s="2">
        <v>497717</v>
      </c>
      <c r="M57" s="1">
        <v>545956</v>
      </c>
      <c r="N57" s="14"/>
      <c r="O57" s="32" t="s">
        <v>118</v>
      </c>
      <c r="P57" s="2">
        <v>13756</v>
      </c>
      <c r="Q57" s="2">
        <v>54295</v>
      </c>
    </row>
    <row r="58" spans="1:27">
      <c r="A58" s="2" t="s">
        <v>119</v>
      </c>
      <c r="B58" s="2">
        <v>62288</v>
      </c>
      <c r="C58" s="2">
        <v>102260</v>
      </c>
      <c r="D58" s="2">
        <v>145575</v>
      </c>
      <c r="E58" s="2">
        <v>162696</v>
      </c>
      <c r="F58" s="2">
        <v>264594</v>
      </c>
      <c r="G58" s="2">
        <v>345033</v>
      </c>
      <c r="H58" s="2">
        <v>474508</v>
      </c>
      <c r="I58" s="2">
        <v>580097</v>
      </c>
      <c r="J58" s="2">
        <v>660944</v>
      </c>
      <c r="K58" s="2">
        <v>713266</v>
      </c>
      <c r="L58" s="2">
        <v>747372</v>
      </c>
      <c r="M58" s="1">
        <v>842188</v>
      </c>
      <c r="N58" s="14"/>
      <c r="O58" s="32" t="s">
        <v>119</v>
      </c>
      <c r="P58" s="2">
        <v>38176</v>
      </c>
      <c r="Q58" s="13">
        <v>137125</v>
      </c>
    </row>
    <row r="59" spans="1:27">
      <c r="A59" s="2" t="s">
        <v>120</v>
      </c>
      <c r="B59" s="2">
        <v>13664</v>
      </c>
      <c r="C59" s="2">
        <v>26030</v>
      </c>
      <c r="D59" s="2">
        <v>40792</v>
      </c>
      <c r="E59" s="2">
        <v>52912</v>
      </c>
      <c r="F59" s="2">
        <v>66464</v>
      </c>
      <c r="G59" s="2">
        <v>78852</v>
      </c>
      <c r="H59" s="2">
        <v>93272</v>
      </c>
      <c r="I59" s="2">
        <v>105805</v>
      </c>
      <c r="J59" s="2">
        <v>118024</v>
      </c>
      <c r="K59" s="2">
        <v>126167</v>
      </c>
      <c r="L59" s="2">
        <v>137682</v>
      </c>
      <c r="M59" s="1">
        <v>147028</v>
      </c>
      <c r="N59" s="14"/>
      <c r="O59" s="32" t="s">
        <v>120</v>
      </c>
      <c r="P59" s="2">
        <v>14252</v>
      </c>
      <c r="Q59" s="2">
        <v>26985</v>
      </c>
    </row>
    <row r="60" spans="1:27">
      <c r="A60" s="2" t="s">
        <v>121</v>
      </c>
      <c r="B60" s="2">
        <v>63833</v>
      </c>
      <c r="C60" s="2">
        <v>147902</v>
      </c>
      <c r="D60" s="2">
        <v>190751</v>
      </c>
      <c r="E60" s="2">
        <v>192339</v>
      </c>
      <c r="F60" s="2">
        <v>234018</v>
      </c>
      <c r="G60" s="2">
        <v>277972</v>
      </c>
      <c r="H60" s="2">
        <v>318224</v>
      </c>
      <c r="I60" s="2">
        <v>369441</v>
      </c>
      <c r="J60" s="2">
        <v>423273</v>
      </c>
      <c r="K60" s="2">
        <v>479883</v>
      </c>
      <c r="L60" s="2">
        <v>544735</v>
      </c>
      <c r="M60" s="1">
        <v>596767</v>
      </c>
      <c r="N60" s="14"/>
      <c r="O60" s="32" t="s">
        <v>121</v>
      </c>
      <c r="P60" s="2">
        <v>34854</v>
      </c>
      <c r="Q60" s="2">
        <v>81396</v>
      </c>
    </row>
    <row r="61" spans="1:27">
      <c r="A61" s="2" t="s">
        <v>122</v>
      </c>
      <c r="B61" s="2">
        <v>12.303</v>
      </c>
      <c r="C61" s="2">
        <v>22680</v>
      </c>
      <c r="D61">
        <v>16.761</v>
      </c>
      <c r="E61">
        <v>29.284</v>
      </c>
      <c r="F61">
        <v>45.455</v>
      </c>
      <c r="G61">
        <v>58.841</v>
      </c>
      <c r="H61">
        <v>72.042</v>
      </c>
      <c r="I61" s="2">
        <v>85160</v>
      </c>
      <c r="J61">
        <v>92.779</v>
      </c>
      <c r="K61">
        <v>103.799</v>
      </c>
      <c r="L61">
        <v>112.149</v>
      </c>
      <c r="M61" s="1">
        <v>117566</v>
      </c>
      <c r="N61" s="14"/>
      <c r="O61" s="32" t="s">
        <v>122</v>
      </c>
      <c r="P61" s="2">
        <v>11854</v>
      </c>
      <c r="Q61" s="2">
        <v>22231</v>
      </c>
    </row>
    <row r="62" spans="1:27">
      <c r="A62" s="2" t="s">
        <v>132</v>
      </c>
      <c r="B62" s="2">
        <v>10.489</v>
      </c>
      <c r="C62">
        <v>29.899</v>
      </c>
      <c r="D62">
        <v>47.923</v>
      </c>
      <c r="E62">
        <v>79.662</v>
      </c>
      <c r="F62">
        <v>86.189</v>
      </c>
      <c r="G62">
        <v>103.533</v>
      </c>
      <c r="H62">
        <v>127.575</v>
      </c>
      <c r="I62">
        <v>152.046</v>
      </c>
      <c r="J62">
        <v>169.162</v>
      </c>
      <c r="K62">
        <v>187.809</v>
      </c>
      <c r="L62">
        <v>208.694</v>
      </c>
      <c r="M62" s="1">
        <v>225390</v>
      </c>
      <c r="N62" s="14"/>
      <c r="O62" s="32" t="s">
        <v>132</v>
      </c>
      <c r="P62" s="2">
        <v>15169</v>
      </c>
      <c r="Q62" s="2">
        <v>21283</v>
      </c>
    </row>
    <row r="63" spans="1:27">
      <c r="A63" s="2" t="s">
        <v>142</v>
      </c>
      <c r="B63" s="2">
        <v>16085.56</v>
      </c>
      <c r="C63" s="2">
        <v>21545.6</v>
      </c>
      <c r="D63" s="2">
        <v>41169.98</v>
      </c>
      <c r="E63" s="2">
        <v>57147.16</v>
      </c>
      <c r="F63" s="2">
        <v>73878</v>
      </c>
      <c r="G63" s="2">
        <v>90962</v>
      </c>
      <c r="H63" s="2">
        <v>111787</v>
      </c>
      <c r="I63" s="2">
        <v>128691</v>
      </c>
      <c r="J63" s="2">
        <v>143899</v>
      </c>
      <c r="K63" s="2">
        <v>160428</v>
      </c>
      <c r="L63" s="2">
        <v>176474</v>
      </c>
      <c r="M63" s="1">
        <v>196118</v>
      </c>
      <c r="N63" s="14"/>
      <c r="O63" s="32" t="s">
        <v>142</v>
      </c>
      <c r="P63" s="2">
        <v>20264</v>
      </c>
      <c r="Q63" s="2">
        <v>41510</v>
      </c>
    </row>
    <row r="64" spans="1:27">
      <c r="A64" s="2" t="s">
        <v>143</v>
      </c>
      <c r="B64" s="2">
        <v>10956.73</v>
      </c>
      <c r="C64" s="2">
        <v>17383.63</v>
      </c>
      <c r="D64" s="2">
        <v>24142.98</v>
      </c>
      <c r="E64" s="2">
        <v>24577.58</v>
      </c>
      <c r="F64" s="2">
        <v>27606.7</v>
      </c>
      <c r="G64" s="2">
        <v>31473.57</v>
      </c>
      <c r="H64" s="2">
        <v>34560.16</v>
      </c>
      <c r="I64" s="2">
        <v>37197.07</v>
      </c>
      <c r="J64" s="2">
        <v>39699.66</v>
      </c>
      <c r="K64" s="2">
        <v>40457.31</v>
      </c>
      <c r="L64" s="2">
        <v>40546.48</v>
      </c>
      <c r="M64" s="1">
        <v>42351.64</v>
      </c>
      <c r="N64" s="14"/>
      <c r="O64" s="32" t="s">
        <v>143</v>
      </c>
      <c r="P64" s="2">
        <v>3226.27</v>
      </c>
      <c r="Q64" s="2">
        <v>5960.01</v>
      </c>
    </row>
    <row r="65" spans="1:27">
      <c r="A65" s="2" t="s">
        <v>144</v>
      </c>
      <c r="B65" s="2">
        <v>16945</v>
      </c>
      <c r="C65" s="2">
        <v>27978</v>
      </c>
      <c r="D65" s="2">
        <v>28440</v>
      </c>
      <c r="E65" s="2">
        <v>48842</v>
      </c>
      <c r="F65" s="2">
        <v>72709</v>
      </c>
      <c r="G65" s="2">
        <v>88415</v>
      </c>
      <c r="H65" s="2">
        <v>107300</v>
      </c>
      <c r="I65" s="2">
        <v>127512</v>
      </c>
      <c r="J65" s="2">
        <v>147307</v>
      </c>
      <c r="K65" s="2">
        <v>164532</v>
      </c>
      <c r="L65" s="2">
        <v>184111</v>
      </c>
      <c r="M65" s="1">
        <v>205052</v>
      </c>
      <c r="N65" s="14"/>
      <c r="O65" s="32" t="s">
        <v>144</v>
      </c>
      <c r="P65" s="2">
        <v>19619</v>
      </c>
      <c r="Q65" s="2">
        <v>37531</v>
      </c>
    </row>
    <row r="66" spans="1:27">
      <c r="A66" s="2" t="s">
        <v>145</v>
      </c>
      <c r="B66" s="2">
        <v>9037</v>
      </c>
      <c r="C66" s="2">
        <v>14724</v>
      </c>
      <c r="D66" s="2">
        <v>18244</v>
      </c>
      <c r="E66" s="2">
        <v>22606</v>
      </c>
      <c r="F66" s="2">
        <v>31424</v>
      </c>
      <c r="G66" s="2">
        <v>36893</v>
      </c>
      <c r="H66" s="2">
        <v>42216</v>
      </c>
      <c r="I66" s="2">
        <v>48861</v>
      </c>
      <c r="J66" s="2">
        <v>55182</v>
      </c>
      <c r="K66" s="2">
        <v>59467</v>
      </c>
      <c r="L66" s="2">
        <v>64838</v>
      </c>
      <c r="M66" s="1">
        <v>68810</v>
      </c>
      <c r="N66" s="14"/>
      <c r="O66" s="32" t="s">
        <v>145</v>
      </c>
      <c r="P66" s="2">
        <v>5737</v>
      </c>
      <c r="Q66" s="2">
        <v>10637</v>
      </c>
    </row>
    <row r="67" spans="1:27">
      <c r="A67" s="2" t="s">
        <v>146</v>
      </c>
      <c r="B67" s="2">
        <v>11792</v>
      </c>
      <c r="C67" s="2">
        <v>23654</v>
      </c>
      <c r="D67" s="2">
        <v>32944</v>
      </c>
      <c r="E67" s="2">
        <v>53726</v>
      </c>
      <c r="F67" s="2">
        <v>69341</v>
      </c>
      <c r="G67" s="2">
        <v>90349</v>
      </c>
      <c r="H67" s="2">
        <v>108578</v>
      </c>
      <c r="I67" s="2">
        <v>110316</v>
      </c>
      <c r="J67" s="2">
        <v>129143</v>
      </c>
      <c r="K67" s="2">
        <v>153552</v>
      </c>
      <c r="L67" s="2">
        <v>184039</v>
      </c>
      <c r="M67" s="1">
        <v>205562</v>
      </c>
      <c r="N67" s="14"/>
      <c r="O67" s="32" t="s">
        <v>146</v>
      </c>
      <c r="P67" s="2">
        <v>17651</v>
      </c>
      <c r="Q67" s="2">
        <v>28681</v>
      </c>
    </row>
    <row r="68" spans="1:27">
      <c r="A68" s="2" t="s">
        <v>147</v>
      </c>
      <c r="B68" s="2">
        <v>50839</v>
      </c>
      <c r="C68" s="2">
        <v>100485</v>
      </c>
      <c r="D68" s="2">
        <v>155576</v>
      </c>
      <c r="E68" s="2">
        <v>189063</v>
      </c>
      <c r="F68" s="2">
        <v>235539</v>
      </c>
      <c r="G68" s="2">
        <v>314476</v>
      </c>
      <c r="H68" s="2">
        <v>378135</v>
      </c>
      <c r="I68" s="2">
        <v>401479</v>
      </c>
      <c r="J68" s="2">
        <v>477075</v>
      </c>
      <c r="K68" s="2">
        <v>526552</v>
      </c>
      <c r="L68" s="2">
        <v>576943</v>
      </c>
      <c r="M68" s="1">
        <v>620120</v>
      </c>
      <c r="N68" s="14"/>
      <c r="O68" s="32" t="s">
        <v>147</v>
      </c>
      <c r="P68" s="2">
        <v>33253</v>
      </c>
      <c r="Q68" s="13">
        <v>110201</v>
      </c>
    </row>
    <row r="69" spans="1:27">
      <c r="A69" s="2" t="s">
        <v>148</v>
      </c>
      <c r="B69" s="2">
        <v>64395</v>
      </c>
      <c r="C69" s="2">
        <v>113606</v>
      </c>
      <c r="D69" s="2">
        <v>167999</v>
      </c>
      <c r="E69" s="2">
        <v>233767</v>
      </c>
      <c r="F69" s="2">
        <v>288500</v>
      </c>
      <c r="G69" s="2">
        <v>333991</v>
      </c>
      <c r="H69" s="2">
        <v>396554</v>
      </c>
      <c r="I69" s="2">
        <v>452574</v>
      </c>
      <c r="J69" s="2">
        <v>501984</v>
      </c>
      <c r="K69" s="2">
        <v>544996</v>
      </c>
      <c r="L69" s="2">
        <v>609874</v>
      </c>
      <c r="M69" s="1">
        <v>654250</v>
      </c>
      <c r="N69" s="14"/>
      <c r="O69" s="32" t="s">
        <v>148</v>
      </c>
      <c r="P69" s="2">
        <v>47192</v>
      </c>
      <c r="Q69" s="2">
        <v>90148</v>
      </c>
    </row>
    <row r="70" spans="1:27">
      <c r="A70" s="2" t="s">
        <v>149</v>
      </c>
      <c r="B70" s="2">
        <v>14297</v>
      </c>
      <c r="C70" s="2">
        <v>28494</v>
      </c>
      <c r="D70" s="2">
        <v>43941</v>
      </c>
      <c r="E70" s="2">
        <v>55371</v>
      </c>
      <c r="F70" s="2">
        <v>69398</v>
      </c>
      <c r="G70" s="2">
        <v>85075</v>
      </c>
      <c r="H70" s="2">
        <v>96105</v>
      </c>
      <c r="I70" s="2">
        <v>87845</v>
      </c>
      <c r="J70" s="2">
        <v>79469</v>
      </c>
      <c r="K70" s="2">
        <v>20841</v>
      </c>
      <c r="L70" s="2">
        <v>10353</v>
      </c>
      <c r="M70" s="8">
        <v>1.237</v>
      </c>
      <c r="N70" s="14"/>
      <c r="O70" s="32" t="s">
        <v>149</v>
      </c>
      <c r="P70">
        <v>15.664</v>
      </c>
      <c r="Q70">
        <v>29.102</v>
      </c>
    </row>
    <row r="71" spans="1:27">
      <c r="A71" s="2" t="s">
        <v>150</v>
      </c>
      <c r="B71" s="2">
        <v>5740</v>
      </c>
      <c r="C71" s="2">
        <v>11208</v>
      </c>
      <c r="D71" s="2">
        <v>15811</v>
      </c>
      <c r="E71" s="2">
        <v>22887</v>
      </c>
      <c r="F71" s="2">
        <v>30835</v>
      </c>
      <c r="G71" s="2">
        <v>36107</v>
      </c>
      <c r="H71" s="2">
        <v>40611</v>
      </c>
      <c r="I71" s="2">
        <v>47397</v>
      </c>
      <c r="J71" s="2">
        <v>50277</v>
      </c>
      <c r="K71" s="2">
        <v>55141</v>
      </c>
      <c r="L71" s="2">
        <v>61757</v>
      </c>
      <c r="M71" s="1">
        <v>5609</v>
      </c>
      <c r="N71" s="14"/>
      <c r="O71" s="32" t="s">
        <v>150</v>
      </c>
      <c r="P71" s="2">
        <v>6487</v>
      </c>
      <c r="Q71" s="2">
        <v>13196</v>
      </c>
    </row>
    <row r="72" spans="1:27">
      <c r="A72" s="2" t="s">
        <v>151</v>
      </c>
      <c r="B72" s="2">
        <v>67140</v>
      </c>
      <c r="C72" s="2">
        <v>98904</v>
      </c>
      <c r="D72" s="2">
        <v>155120</v>
      </c>
      <c r="E72" s="2">
        <v>211350</v>
      </c>
      <c r="F72" s="2">
        <v>268318</v>
      </c>
      <c r="G72" s="2">
        <v>324504</v>
      </c>
      <c r="H72" s="2">
        <v>370742</v>
      </c>
      <c r="I72" s="2">
        <v>430479</v>
      </c>
      <c r="J72" s="2">
        <v>442320</v>
      </c>
      <c r="K72" s="2">
        <v>506728</v>
      </c>
      <c r="L72" s="2">
        <v>557977</v>
      </c>
      <c r="M72" s="1">
        <v>579098</v>
      </c>
      <c r="N72" s="14"/>
      <c r="O72" s="32" t="s">
        <v>151</v>
      </c>
      <c r="P72" s="2">
        <v>56133</v>
      </c>
      <c r="Q72" s="2">
        <v>78820</v>
      </c>
    </row>
    <row r="73" spans="1:27">
      <c r="A73" s="2" t="s">
        <v>152</v>
      </c>
      <c r="B73" s="2">
        <v>24222</v>
      </c>
      <c r="C73" s="2">
        <v>45398</v>
      </c>
      <c r="D73" s="2">
        <v>79813</v>
      </c>
      <c r="E73" s="2">
        <v>107079</v>
      </c>
      <c r="F73" s="2">
        <v>141377</v>
      </c>
      <c r="G73" s="2">
        <v>175478</v>
      </c>
      <c r="H73" s="2">
        <v>210882</v>
      </c>
      <c r="I73" s="2">
        <v>241569</v>
      </c>
      <c r="J73" s="2">
        <v>266812</v>
      </c>
      <c r="K73" s="2">
        <v>312924</v>
      </c>
      <c r="L73" s="2">
        <v>350047</v>
      </c>
      <c r="M73" s="1">
        <v>372637.72</v>
      </c>
      <c r="N73" s="14"/>
      <c r="O73" s="32" t="s">
        <v>152</v>
      </c>
      <c r="P73" s="2">
        <v>36135.96</v>
      </c>
      <c r="Q73" s="2">
        <v>71673.84</v>
      </c>
    </row>
    <row r="74" spans="1:27">
      <c r="A74" s="2" t="s">
        <v>153</v>
      </c>
      <c r="B74" s="2">
        <v>3006</v>
      </c>
      <c r="C74" s="2">
        <v>2533</v>
      </c>
      <c r="D74" s="2">
        <v>2088</v>
      </c>
      <c r="E74" s="2">
        <v>13319</v>
      </c>
      <c r="F74" s="2">
        <v>10988</v>
      </c>
      <c r="G74" s="2">
        <v>12013</v>
      </c>
      <c r="H74" s="2">
        <v>-8369</v>
      </c>
      <c r="I74" s="2">
        <v>-2425</v>
      </c>
      <c r="J74" s="2">
        <v>-2203</v>
      </c>
      <c r="K74" s="2">
        <v>-7089</v>
      </c>
      <c r="L74" s="2">
        <v>-8134</v>
      </c>
      <c r="M74" s="1">
        <v>-13498</v>
      </c>
      <c r="N74" s="14"/>
      <c r="O74" s="32" t="s">
        <v>153</v>
      </c>
      <c r="P74">
        <v>134</v>
      </c>
      <c r="Q74" s="2">
        <v>-3871</v>
      </c>
    </row>
    <row r="75" spans="1:27">
      <c r="A75" s="2" t="s">
        <v>154</v>
      </c>
      <c r="B75" s="2">
        <v>27109</v>
      </c>
      <c r="C75" s="2">
        <v>48911</v>
      </c>
      <c r="D75" s="2">
        <v>88084</v>
      </c>
      <c r="E75" s="2">
        <v>116023</v>
      </c>
      <c r="F75" s="2">
        <v>155327</v>
      </c>
      <c r="G75" s="2">
        <v>187543</v>
      </c>
      <c r="H75" s="2">
        <v>224239</v>
      </c>
      <c r="I75" s="2">
        <v>249438</v>
      </c>
      <c r="J75" s="2">
        <v>275484</v>
      </c>
      <c r="K75" s="2">
        <v>301984</v>
      </c>
      <c r="L75" s="2">
        <v>340188</v>
      </c>
      <c r="M75" s="1">
        <v>341852</v>
      </c>
      <c r="N75" s="14"/>
      <c r="O75" s="32" t="s">
        <v>154</v>
      </c>
      <c r="P75" s="2">
        <v>59173</v>
      </c>
      <c r="Q75" s="2">
        <v>78362</v>
      </c>
    </row>
    <row r="76" spans="1:27">
      <c r="M76" s="1">
        <f>sum(M3:M75)</f>
        <v>20975255.762</v>
      </c>
      <c r="N76" s="14"/>
      <c r="O76" s="33" t="s">
        <v>155</v>
      </c>
      <c r="P76" s="21">
        <f>sum(P75:P3)</f>
        <v>1815261.078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>
      <c r="A77" s="24" t="s">
        <v>156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3"/>
      <c r="N77" s="14"/>
      <c r="O77" s="38" t="s">
        <v>156</v>
      </c>
      <c r="P77" s="44"/>
    </row>
    <row r="78" spans="1:27">
      <c r="A78" s="2" t="s">
        <v>157</v>
      </c>
      <c r="B78" s="7">
        <v>1594</v>
      </c>
      <c r="C78" s="7">
        <v>-52424</v>
      </c>
      <c r="D78" s="7">
        <v>-49406</v>
      </c>
      <c r="E78" s="7">
        <v>-35728</v>
      </c>
      <c r="F78" s="2">
        <v>-9355</v>
      </c>
      <c r="G78" s="7">
        <v>10148</v>
      </c>
      <c r="H78" s="7">
        <v>1332</v>
      </c>
      <c r="I78" s="7">
        <v>8130</v>
      </c>
      <c r="J78" s="7">
        <v>26514</v>
      </c>
      <c r="K78" s="2">
        <v>38126</v>
      </c>
      <c r="L78" s="2">
        <v>15667</v>
      </c>
      <c r="M78" s="2">
        <v>5320</v>
      </c>
      <c r="N78" s="14"/>
      <c r="O78" s="32" t="s">
        <v>157</v>
      </c>
      <c r="P78" s="2">
        <v>11902</v>
      </c>
      <c r="Q78" s="2">
        <v>-11247</v>
      </c>
    </row>
    <row r="79" spans="1:27">
      <c r="A79" s="2" t="s">
        <v>170</v>
      </c>
      <c r="B79" s="7">
        <v>34288</v>
      </c>
      <c r="C79" s="7">
        <v>38905</v>
      </c>
      <c r="D79" s="7">
        <v>10987</v>
      </c>
      <c r="E79" s="7">
        <v>5688</v>
      </c>
      <c r="F79" s="7">
        <v>27613</v>
      </c>
      <c r="G79" s="7">
        <v>21503</v>
      </c>
      <c r="H79" s="7">
        <v>26338</v>
      </c>
      <c r="I79" s="7">
        <v>23360</v>
      </c>
      <c r="J79" s="7">
        <v>16446</v>
      </c>
      <c r="K79" s="2">
        <v>-2858</v>
      </c>
      <c r="L79" s="2">
        <v>-102340</v>
      </c>
      <c r="M79" s="2">
        <v>-54285</v>
      </c>
      <c r="N79" s="14"/>
      <c r="O79" s="32" t="s">
        <v>170</v>
      </c>
      <c r="P79" s="2">
        <v>-7144</v>
      </c>
      <c r="Q79" s="2">
        <v>12502</v>
      </c>
    </row>
    <row r="80" spans="1:27">
      <c r="A80" s="2" t="s">
        <v>183</v>
      </c>
      <c r="B80" s="7">
        <v>145873</v>
      </c>
      <c r="C80" s="7">
        <v>214.147</v>
      </c>
      <c r="D80" s="7">
        <v>274.549</v>
      </c>
      <c r="E80" s="7">
        <v>326480</v>
      </c>
      <c r="F80" s="7">
        <v>429.879</v>
      </c>
      <c r="G80" s="7">
        <v>487.988</v>
      </c>
      <c r="H80" s="7">
        <v>513436</v>
      </c>
      <c r="I80" s="7">
        <v>542.728</v>
      </c>
      <c r="J80" s="7">
        <v>595.432</v>
      </c>
      <c r="K80" s="2">
        <v>511900</v>
      </c>
      <c r="L80" s="2">
        <v>114.045</v>
      </c>
      <c r="M80" s="2">
        <v>427213</v>
      </c>
      <c r="N80" s="14"/>
      <c r="O80" s="32" t="s">
        <v>183</v>
      </c>
      <c r="P80" s="2">
        <v>71356</v>
      </c>
      <c r="Q80" s="2">
        <v>150317</v>
      </c>
    </row>
    <row r="81" spans="1:27">
      <c r="A81" s="2" t="s">
        <v>196</v>
      </c>
      <c r="B81" s="7">
        <v>70.355</v>
      </c>
      <c r="C81" s="7">
        <v>51.243</v>
      </c>
      <c r="D81" s="7">
        <v>44.309</v>
      </c>
      <c r="E81" s="7">
        <v>46520</v>
      </c>
      <c r="F81" s="7">
        <v>30.948</v>
      </c>
      <c r="G81" s="7">
        <v>38.833</v>
      </c>
      <c r="H81" s="7">
        <v>47.574</v>
      </c>
      <c r="I81" s="7">
        <v>58.506</v>
      </c>
      <c r="J81" s="7">
        <v>62230</v>
      </c>
      <c r="K81" s="2">
        <v>45.099</v>
      </c>
      <c r="L81" s="2">
        <v>75521</v>
      </c>
      <c r="M81" s="2">
        <v>91482</v>
      </c>
      <c r="N81" s="14"/>
      <c r="O81" s="32" t="s">
        <v>196</v>
      </c>
      <c r="P81" s="2">
        <v>41333</v>
      </c>
      <c r="Q81" s="2">
        <v>44062</v>
      </c>
    </row>
    <row r="82" spans="1:27">
      <c r="A82" s="2" t="s">
        <v>209</v>
      </c>
      <c r="B82" s="7">
        <v>2400</v>
      </c>
      <c r="C82" s="7">
        <v>8825</v>
      </c>
      <c r="D82" s="7">
        <v>19683</v>
      </c>
      <c r="E82" s="7">
        <v>25342</v>
      </c>
      <c r="F82" s="7">
        <v>28773</v>
      </c>
      <c r="G82" s="7">
        <v>36214</v>
      </c>
      <c r="H82" s="7">
        <v>58080</v>
      </c>
      <c r="I82" s="7">
        <v>65168</v>
      </c>
      <c r="J82" s="7">
        <v>76257</v>
      </c>
      <c r="K82" s="2">
        <v>95167</v>
      </c>
      <c r="L82" s="2">
        <v>107484</v>
      </c>
      <c r="M82">
        <v>99587</v>
      </c>
      <c r="N82" s="14"/>
      <c r="O82" s="32" t="s">
        <v>209</v>
      </c>
      <c r="P82">
        <v>3726</v>
      </c>
      <c r="Q82">
        <v>15007</v>
      </c>
    </row>
    <row r="83" spans="1:27">
      <c r="A83" s="2" t="s">
        <v>222</v>
      </c>
      <c r="B83" s="7">
        <v>15.405</v>
      </c>
      <c r="C83" s="7">
        <v>18.169</v>
      </c>
      <c r="D83" s="7">
        <v>16510</v>
      </c>
      <c r="E83" s="7">
        <v>51790</v>
      </c>
      <c r="F83" s="7">
        <v>86.575</v>
      </c>
      <c r="G83" s="7">
        <v>93.618</v>
      </c>
      <c r="H83" s="7">
        <v>118.629</v>
      </c>
      <c r="I83" s="7">
        <v>128.383</v>
      </c>
      <c r="J83" s="7">
        <v>133630</v>
      </c>
      <c r="K83" s="2">
        <v>148.506</v>
      </c>
      <c r="L83" s="2">
        <v>162.028</v>
      </c>
      <c r="M83" s="2">
        <v>124.206</v>
      </c>
      <c r="N83" s="14"/>
      <c r="O83" s="32" t="s">
        <v>222</v>
      </c>
      <c r="P83" s="2">
        <v>11487</v>
      </c>
      <c r="Q83" s="2">
        <v>8921</v>
      </c>
    </row>
    <row r="84" spans="1:27">
      <c r="A84" s="2" t="s">
        <v>235</v>
      </c>
      <c r="B84" s="7">
        <v>14897</v>
      </c>
      <c r="C84" s="7">
        <v>8320</v>
      </c>
      <c r="D84" s="7">
        <v>6300</v>
      </c>
      <c r="E84" s="7">
        <v>13533</v>
      </c>
      <c r="F84" s="7">
        <v>18740</v>
      </c>
      <c r="G84" s="7">
        <v>49042</v>
      </c>
      <c r="H84" s="7">
        <v>41521</v>
      </c>
      <c r="I84" s="7">
        <v>39950</v>
      </c>
      <c r="J84" s="7">
        <v>104032</v>
      </c>
      <c r="K84" s="2">
        <v>51737</v>
      </c>
      <c r="L84" s="2">
        <v>60310</v>
      </c>
      <c r="M84" s="2">
        <v>60033</v>
      </c>
      <c r="N84" s="14"/>
      <c r="O84" s="32" t="s">
        <v>235</v>
      </c>
      <c r="P84">
        <v>487</v>
      </c>
      <c r="Q84" s="2">
        <v>38279</v>
      </c>
    </row>
    <row r="85" spans="1:27">
      <c r="A85" s="2"/>
      <c r="B85" s="2"/>
      <c r="M85" s="8"/>
      <c r="N85" s="14"/>
      <c r="O85" s="32" t="s">
        <v>248</v>
      </c>
      <c r="P85" s="2">
        <v>-2042</v>
      </c>
      <c r="Q85" s="2">
        <v>-24438</v>
      </c>
    </row>
    <row r="86" spans="1:27">
      <c r="M86" s="8"/>
      <c r="N86" s="14"/>
      <c r="O86" s="33" t="s">
        <v>155</v>
      </c>
      <c r="P86" s="21">
        <f>sum(P85:P78)</f>
        <v>131105</v>
      </c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>
      <c r="A87" s="24" t="s">
        <v>485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3"/>
      <c r="N87" s="14"/>
      <c r="O87" s="46" t="s">
        <v>485</v>
      </c>
      <c r="P87" s="44"/>
    </row>
    <row r="88" spans="1:27">
      <c r="A88" t="s">
        <v>249</v>
      </c>
      <c r="M88" s="8"/>
      <c r="N88" s="14"/>
      <c r="O88" s="32" t="s">
        <v>250</v>
      </c>
      <c r="P88" s="2">
        <v>-91298.79</v>
      </c>
      <c r="Q88" s="2">
        <v>-89774.05</v>
      </c>
    </row>
    <row r="89" spans="1:27">
      <c r="A89" s="2" t="s">
        <v>250</v>
      </c>
      <c r="B89" s="7">
        <v>54452</v>
      </c>
      <c r="C89" s="7">
        <v>9615</v>
      </c>
      <c r="D89" s="7">
        <v>13587</v>
      </c>
      <c r="E89" s="7">
        <v>17309</v>
      </c>
      <c r="F89" s="7">
        <v>234854</v>
      </c>
      <c r="G89" s="7">
        <v>282790.72</v>
      </c>
      <c r="H89" s="7">
        <v>417986.27</v>
      </c>
      <c r="I89" s="7">
        <v>489150.73</v>
      </c>
      <c r="J89" s="7">
        <v>682108.71</v>
      </c>
      <c r="K89" s="7">
        <v>825197.4</v>
      </c>
      <c r="L89" s="7">
        <v>620467.82</v>
      </c>
      <c r="M89" s="1">
        <v>621220.12</v>
      </c>
      <c r="N89" s="14"/>
      <c r="O89" s="32" t="s">
        <v>251</v>
      </c>
    </row>
    <row r="90" spans="1:27" ht="15.28053114822933" customHeight="1">
      <c r="A90" s="2" t="s">
        <v>251</v>
      </c>
      <c r="B90" s="7">
        <v>-396617</v>
      </c>
      <c r="C90" s="7">
        <v>-398733</v>
      </c>
      <c r="D90" s="7">
        <v>-1198723</v>
      </c>
      <c r="E90" s="7">
        <v>-951689</v>
      </c>
      <c r="F90" s="7">
        <v>-30985</v>
      </c>
      <c r="G90" s="7">
        <v>-419257</v>
      </c>
      <c r="H90" s="7">
        <v>-47769</v>
      </c>
      <c r="I90" s="7">
        <v>64038</v>
      </c>
      <c r="J90" s="7">
        <v>-729165</v>
      </c>
      <c r="K90" s="7">
        <v>-562744</v>
      </c>
      <c r="L90" s="7">
        <v>-641487</v>
      </c>
      <c r="M90" s="1">
        <v>-320943</v>
      </c>
      <c r="N90" s="14"/>
      <c r="O90" s="32" t="s">
        <v>252</v>
      </c>
      <c r="P90" s="2">
        <v>60587</v>
      </c>
      <c r="Q90" s="2">
        <v>205717</v>
      </c>
    </row>
    <row r="91" spans="1:27" ht="15.311216277490075" customHeight="1">
      <c r="A91" s="2" t="s">
        <v>252</v>
      </c>
      <c r="B91" s="7">
        <v>-78031</v>
      </c>
      <c r="C91" s="7">
        <v>-155012</v>
      </c>
      <c r="D91" s="7">
        <v>-1155</v>
      </c>
      <c r="E91" s="7">
        <v>47652</v>
      </c>
      <c r="F91" s="7">
        <v>15397</v>
      </c>
      <c r="G91" s="7">
        <v>19765</v>
      </c>
      <c r="H91" s="7">
        <v>92505</v>
      </c>
      <c r="I91" s="7">
        <v>10020</v>
      </c>
      <c r="J91" s="7">
        <v>39825</v>
      </c>
      <c r="K91" s="7">
        <v>138806</v>
      </c>
      <c r="L91" s="7">
        <v>148015</v>
      </c>
      <c r="M91" s="1">
        <v>125498</v>
      </c>
      <c r="N91" s="14"/>
      <c r="O91" s="32" t="s">
        <v>253</v>
      </c>
      <c r="P91" s="2">
        <v>-6843</v>
      </c>
    </row>
    <row r="92" spans="1:27" ht="16.299011739220685" customHeight="1">
      <c r="A92" s="2" t="s">
        <v>253</v>
      </c>
      <c r="B92" s="7">
        <v>779</v>
      </c>
      <c r="C92" s="7">
        <v>-34718</v>
      </c>
      <c r="D92" s="7">
        <v>-9245</v>
      </c>
      <c r="E92" s="7">
        <v>-7636</v>
      </c>
      <c r="F92" s="7">
        <v>5769</v>
      </c>
      <c r="G92" s="7">
        <v>6708</v>
      </c>
      <c r="H92" s="7">
        <v>3891</v>
      </c>
      <c r="I92" s="7"/>
      <c r="J92" s="7">
        <v>8198</v>
      </c>
      <c r="K92" s="7">
        <v>13317</v>
      </c>
      <c r="L92" s="7">
        <v>1807</v>
      </c>
      <c r="M92" s="1">
        <v>13849</v>
      </c>
      <c r="N92" s="14"/>
      <c r="O92" s="32" t="s">
        <v>254</v>
      </c>
      <c r="P92" s="2">
        <v>1464</v>
      </c>
      <c r="Q92" s="2">
        <v>2068</v>
      </c>
    </row>
    <row r="93" spans="1:27" ht="14.817298198168677" customHeight="1">
      <c r="A93" s="2" t="s">
        <v>254</v>
      </c>
      <c r="B93" s="7">
        <v>1673</v>
      </c>
      <c r="C93" s="7">
        <v>2558</v>
      </c>
      <c r="D93" s="7">
        <v>4145</v>
      </c>
      <c r="E93" s="7">
        <v>4630</v>
      </c>
      <c r="F93" s="7">
        <v>5794</v>
      </c>
      <c r="G93" s="7">
        <v>5998</v>
      </c>
      <c r="H93" s="7">
        <v>4594</v>
      </c>
      <c r="I93" s="7">
        <v>3529</v>
      </c>
      <c r="J93" s="7">
        <v>7199</v>
      </c>
      <c r="K93" s="7">
        <v>10224</v>
      </c>
      <c r="L93" s="7">
        <v>12223</v>
      </c>
      <c r="M93" s="1">
        <v>14092</v>
      </c>
      <c r="N93" s="14"/>
      <c r="O93" s="32" t="s">
        <v>255</v>
      </c>
      <c r="P93" s="2">
        <v>144845</v>
      </c>
      <c r="Q93" s="2">
        <v>287675</v>
      </c>
    </row>
    <row r="94" spans="1:27" ht="15.805114008355304" customHeight="1">
      <c r="A94" s="2" t="s">
        <v>255</v>
      </c>
      <c r="B94" s="7">
        <v>108513</v>
      </c>
      <c r="C94" s="7">
        <v>94818</v>
      </c>
      <c r="D94" s="7">
        <v>207403</v>
      </c>
      <c r="E94" s="7">
        <v>230177</v>
      </c>
      <c r="F94" s="7">
        <v>349931</v>
      </c>
      <c r="G94" s="7">
        <v>488419</v>
      </c>
      <c r="H94" s="7">
        <v>401265</v>
      </c>
      <c r="I94" s="7">
        <v>495052</v>
      </c>
      <c r="J94" s="7">
        <v>550299</v>
      </c>
      <c r="K94" s="7">
        <v>519641</v>
      </c>
      <c r="L94" s="7">
        <v>469793</v>
      </c>
      <c r="M94" s="1">
        <v>1375352</v>
      </c>
      <c r="N94" s="14"/>
      <c r="O94" s="32" t="s">
        <v>256</v>
      </c>
      <c r="P94" s="2">
        <v>19914</v>
      </c>
      <c r="Q94" s="2">
        <v>41905</v>
      </c>
    </row>
    <row r="95" spans="1:27" ht="14.817298198168677" customHeight="1">
      <c r="A95" s="2" t="s">
        <v>256</v>
      </c>
      <c r="B95" s="7">
        <v>18838</v>
      </c>
      <c r="C95" s="7">
        <v>21886</v>
      </c>
      <c r="D95" s="7">
        <v>45439</v>
      </c>
      <c r="E95" s="7">
        <v>34303</v>
      </c>
      <c r="F95" s="7">
        <v>11821</v>
      </c>
      <c r="G95" s="7">
        <v>186</v>
      </c>
      <c r="H95" s="7">
        <v>7749</v>
      </c>
      <c r="I95" s="7">
        <v>8797</v>
      </c>
      <c r="J95" s="7">
        <v>1182</v>
      </c>
      <c r="K95" s="7">
        <v>18627</v>
      </c>
      <c r="L95" s="7">
        <v>18904</v>
      </c>
      <c r="M95" s="1">
        <v>2372</v>
      </c>
      <c r="N95" s="14"/>
      <c r="O95" s="32" t="s">
        <v>257</v>
      </c>
      <c r="P95" s="2">
        <v>-75219</v>
      </c>
      <c r="Q95" s="2">
        <v>-34075</v>
      </c>
    </row>
    <row r="96" spans="1:27" ht="16.299032087676853" customHeight="1">
      <c r="A96" s="2" t="s">
        <v>257</v>
      </c>
      <c r="B96" s="7">
        <v>-75219</v>
      </c>
      <c r="C96" s="7">
        <v>24711</v>
      </c>
      <c r="D96" s="7">
        <v>26648</v>
      </c>
      <c r="E96" s="7">
        <v>63739</v>
      </c>
      <c r="F96" s="7">
        <v>51624</v>
      </c>
      <c r="G96" s="7">
        <v>8381</v>
      </c>
      <c r="H96" s="7">
        <v>123331</v>
      </c>
      <c r="I96" s="7">
        <v>145887</v>
      </c>
      <c r="J96" s="7">
        <v>187759</v>
      </c>
      <c r="K96" s="7">
        <v>207232</v>
      </c>
      <c r="L96" s="7">
        <v>193416</v>
      </c>
      <c r="M96" s="1">
        <v>243974</v>
      </c>
      <c r="N96" s="14"/>
      <c r="O96" s="32" t="s">
        <v>258</v>
      </c>
      <c r="P96" s="2">
        <v>6012</v>
      </c>
      <c r="Q96" s="2">
        <v>18119</v>
      </c>
    </row>
    <row r="97" spans="1:27" ht="15.291377931565117" customHeight="1">
      <c r="A97" s="2" t="s">
        <v>258</v>
      </c>
      <c r="B97" s="7">
        <v>8498</v>
      </c>
      <c r="C97" s="7">
        <v>22683</v>
      </c>
      <c r="D97" s="7">
        <v>25792</v>
      </c>
      <c r="E97" s="7">
        <v>49532</v>
      </c>
      <c r="F97" s="7">
        <v>61494</v>
      </c>
      <c r="G97" s="7">
        <v>70607</v>
      </c>
      <c r="H97" s="7">
        <v>83368</v>
      </c>
      <c r="I97" s="7">
        <v>91233</v>
      </c>
      <c r="J97" s="7">
        <v>92895</v>
      </c>
      <c r="K97" s="7">
        <v>109797</v>
      </c>
      <c r="L97" s="7">
        <v>123836</v>
      </c>
      <c r="M97" s="1">
        <v>126733</v>
      </c>
      <c r="N97" s="14"/>
      <c r="O97" s="32" t="s">
        <v>259</v>
      </c>
      <c r="P97" s="2">
        <v>17163</v>
      </c>
      <c r="Q97" s="2">
        <v>27847</v>
      </c>
    </row>
    <row r="98" spans="1:27" ht="16.299011739220685" customHeight="1">
      <c r="A98" s="2" t="s">
        <v>259</v>
      </c>
      <c r="B98" s="7">
        <v>6991</v>
      </c>
      <c r="C98" s="7">
        <v>19129</v>
      </c>
      <c r="D98" s="7">
        <v>28067</v>
      </c>
      <c r="E98" s="7">
        <v>37421</v>
      </c>
      <c r="F98" s="7">
        <v>48303</v>
      </c>
      <c r="G98" s="7">
        <v>53318</v>
      </c>
      <c r="H98" s="7">
        <v>81214</v>
      </c>
      <c r="I98" s="7">
        <v>92468</v>
      </c>
      <c r="J98" s="7">
        <v>97280</v>
      </c>
      <c r="K98" s="7">
        <v>104726</v>
      </c>
      <c r="L98" s="7">
        <v>125587</v>
      </c>
      <c r="M98" s="1">
        <v>136453</v>
      </c>
      <c r="N98" s="14"/>
      <c r="O98" s="32" t="s">
        <v>260</v>
      </c>
      <c r="P98" s="2">
        <v>-502050</v>
      </c>
      <c r="Q98" s="2">
        <v>-2032.41</v>
      </c>
    </row>
    <row r="99" spans="1:27" ht="17.286847897863485" customHeight="1">
      <c r="A99" s="2" t="s">
        <v>260</v>
      </c>
      <c r="B99" s="7">
        <v>779.75</v>
      </c>
      <c r="C99" s="7">
        <v>1589</v>
      </c>
      <c r="D99" s="7">
        <v>2067.09</v>
      </c>
      <c r="E99" s="7">
        <v>4471.02</v>
      </c>
      <c r="F99" s="7">
        <v>6374.12</v>
      </c>
      <c r="G99" s="7">
        <v>6667.46</v>
      </c>
      <c r="H99" s="7">
        <v>7588.77</v>
      </c>
      <c r="I99" s="7">
        <v>7881.65</v>
      </c>
      <c r="J99" s="7">
        <v>8464.69</v>
      </c>
      <c r="K99" s="7">
        <v>8474.89</v>
      </c>
      <c r="L99" s="7">
        <v>7105.72</v>
      </c>
      <c r="M99" s="1">
        <v>8728.36</v>
      </c>
      <c r="N99" s="14"/>
      <c r="O99" s="32" t="s">
        <v>261</v>
      </c>
      <c r="P99" s="2">
        <v>4307</v>
      </c>
      <c r="Q99" s="2">
        <v>4325</v>
      </c>
    </row>
    <row r="100" spans="1:27" ht="18.274663708049957" customHeight="1">
      <c r="A100" s="16" t="s">
        <v>261</v>
      </c>
      <c r="B100" s="28">
        <v>223</v>
      </c>
      <c r="C100" s="28">
        <v>2428</v>
      </c>
      <c r="D100" s="28">
        <v>2813</v>
      </c>
      <c r="E100" s="28">
        <v>-99</v>
      </c>
      <c r="F100" s="28">
        <v>2841</v>
      </c>
      <c r="G100" s="28">
        <v>5201</v>
      </c>
      <c r="H100" s="28">
        <v>19962</v>
      </c>
      <c r="I100" s="28">
        <v>62809</v>
      </c>
      <c r="J100" s="28">
        <v>50580</v>
      </c>
      <c r="K100" s="28">
        <v>43285</v>
      </c>
      <c r="L100" s="28">
        <v>47555</v>
      </c>
      <c r="M100" s="15">
        <v>55322</v>
      </c>
      <c r="N100" s="41"/>
      <c r="O100" s="35" t="s">
        <v>262</v>
      </c>
      <c r="P100" s="17" t="s">
        <v>383</v>
      </c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ht="17.286847897863485" customHeight="1">
      <c r="A101" s="2" t="s">
        <v>262</v>
      </c>
      <c r="B101" s="7">
        <v>-2461</v>
      </c>
      <c r="C101" s="7">
        <v>216</v>
      </c>
      <c r="D101" s="7">
        <v>-6619</v>
      </c>
      <c r="E101" s="7">
        <v>-5724</v>
      </c>
      <c r="F101" s="7">
        <v>-7141</v>
      </c>
      <c r="G101" s="7">
        <v>-378</v>
      </c>
      <c r="H101" s="7">
        <v>-3056</v>
      </c>
      <c r="I101" s="7">
        <v>-2679</v>
      </c>
      <c r="J101" s="7">
        <v>-1854</v>
      </c>
      <c r="K101" s="7">
        <v>-3249</v>
      </c>
      <c r="L101" s="7">
        <v>-243</v>
      </c>
      <c r="M101" s="1">
        <v>-8761</v>
      </c>
      <c r="N101" s="14"/>
      <c r="O101" s="32" t="s">
        <v>263</v>
      </c>
      <c r="P101" s="2">
        <v>5287</v>
      </c>
      <c r="Q101" s="2">
        <v>15301</v>
      </c>
    </row>
    <row r="102" spans="1:27" ht="16.79292981854208" customHeight="1">
      <c r="A102" s="2" t="s">
        <v>263</v>
      </c>
      <c r="B102" s="7">
        <v>98</v>
      </c>
      <c r="C102" s="7">
        <v>29068</v>
      </c>
      <c r="D102" s="7">
        <v>28765</v>
      </c>
      <c r="E102" s="7">
        <v>33972</v>
      </c>
      <c r="F102" s="7">
        <v>37921</v>
      </c>
      <c r="G102" s="7">
        <v>40449</v>
      </c>
      <c r="H102" s="7">
        <v>41702</v>
      </c>
      <c r="I102" s="7">
        <v>45070</v>
      </c>
      <c r="J102" s="7">
        <v>48569</v>
      </c>
      <c r="K102" s="7">
        <v>33838</v>
      </c>
      <c r="L102" s="7">
        <v>43328</v>
      </c>
      <c r="M102" s="1">
        <v>54174</v>
      </c>
      <c r="N102" s="14"/>
      <c r="O102" s="32" t="s">
        <v>264</v>
      </c>
      <c r="P102">
        <v>637</v>
      </c>
      <c r="Q102" s="2">
        <v>27439</v>
      </c>
    </row>
    <row r="103" spans="1:27" ht="16.299011739220685" customHeight="1">
      <c r="A103" s="2" t="s">
        <v>264</v>
      </c>
      <c r="B103" s="7">
        <v>19473</v>
      </c>
      <c r="C103" s="7">
        <v>48166</v>
      </c>
      <c r="D103" s="7">
        <v>64820</v>
      </c>
      <c r="E103" s="7">
        <v>118276</v>
      </c>
      <c r="F103" s="7">
        <v>140168</v>
      </c>
      <c r="G103" s="7">
        <v>170175</v>
      </c>
      <c r="H103" s="7">
        <v>197022</v>
      </c>
      <c r="I103" s="7">
        <v>229138</v>
      </c>
      <c r="J103" s="7">
        <v>244270</v>
      </c>
      <c r="K103" s="7">
        <v>299695</v>
      </c>
      <c r="L103" s="7">
        <v>290518</v>
      </c>
      <c r="M103" s="1">
        <v>307462</v>
      </c>
      <c r="N103" s="14"/>
      <c r="O103" s="32" t="s">
        <v>265</v>
      </c>
      <c r="P103" s="2">
        <v>2346</v>
      </c>
      <c r="Q103" s="2">
        <v>4386.08</v>
      </c>
    </row>
    <row r="104" spans="1:27" ht="15.784791404144626" customHeight="1">
      <c r="A104" s="2" t="s">
        <v>265</v>
      </c>
      <c r="B104" s="7">
        <v>3230</v>
      </c>
      <c r="C104" s="7">
        <v>3471</v>
      </c>
      <c r="D104" s="7">
        <v>4667</v>
      </c>
      <c r="E104" s="7">
        <v>5620</v>
      </c>
      <c r="F104" s="7">
        <v>5749</v>
      </c>
      <c r="G104" s="7">
        <v>36961</v>
      </c>
      <c r="H104" s="7">
        <v>37673</v>
      </c>
      <c r="I104" s="7">
        <v>37673</v>
      </c>
      <c r="J104" s="7">
        <v>37938</v>
      </c>
      <c r="K104" s="7">
        <v>38572</v>
      </c>
      <c r="L104" s="7">
        <v>38875</v>
      </c>
      <c r="M104" s="1">
        <v>39099</v>
      </c>
      <c r="N104" s="14"/>
      <c r="O104" s="32" t="s">
        <v>266</v>
      </c>
      <c r="P104" s="2">
        <v>-88615</v>
      </c>
      <c r="Q104" s="2">
        <v>-2768.77</v>
      </c>
    </row>
    <row r="105" spans="1:27" ht="15.805114008355304" customHeight="1">
      <c r="A105" s="2" t="s">
        <v>266</v>
      </c>
      <c r="B105" s="7">
        <v>-2306</v>
      </c>
      <c r="C105" s="7">
        <v>-7550</v>
      </c>
      <c r="D105" s="7">
        <v>-9900</v>
      </c>
      <c r="E105" s="7">
        <v>-10113</v>
      </c>
      <c r="F105" s="7">
        <v>-11609</v>
      </c>
      <c r="G105" s="7">
        <v>-13876</v>
      </c>
      <c r="H105" s="7">
        <v>-11123</v>
      </c>
      <c r="I105" s="7">
        <v>-8237</v>
      </c>
      <c r="J105" s="7">
        <v>-13086</v>
      </c>
      <c r="K105" s="7">
        <v>-12414</v>
      </c>
      <c r="L105" s="7">
        <v>-15459</v>
      </c>
      <c r="M105" s="1">
        <v>-24247</v>
      </c>
      <c r="N105" s="14"/>
      <c r="O105" s="32" t="s">
        <v>267</v>
      </c>
      <c r="P105" s="2">
        <v>-126235</v>
      </c>
      <c r="Q105" s="2">
        <v>-394579.29</v>
      </c>
    </row>
    <row r="106" spans="1:27" ht="14.32338011884743" customHeight="1">
      <c r="A106" s="2" t="s">
        <v>267</v>
      </c>
      <c r="B106" s="7">
        <v>-138100</v>
      </c>
      <c r="C106" s="7">
        <v>62360</v>
      </c>
      <c r="D106" s="7">
        <v>-39412</v>
      </c>
      <c r="E106" s="7">
        <v>132429</v>
      </c>
      <c r="F106" s="7">
        <v>151855</v>
      </c>
      <c r="G106" s="7">
        <v>55283</v>
      </c>
      <c r="H106" s="7">
        <v>-180485</v>
      </c>
      <c r="I106" s="7">
        <v>-92702</v>
      </c>
      <c r="J106" s="7">
        <v>-68408</v>
      </c>
      <c r="K106" s="7">
        <v>355438</v>
      </c>
      <c r="L106" s="7">
        <v>762552</v>
      </c>
      <c r="M106" s="1">
        <v>417409</v>
      </c>
      <c r="N106" s="14"/>
      <c r="O106" s="32" t="s">
        <v>268</v>
      </c>
      <c r="P106" s="2">
        <v>-36316</v>
      </c>
      <c r="Q106" s="2">
        <v>-3406.29</v>
      </c>
    </row>
    <row r="107" spans="1:27" ht="15.805114008355607" customHeight="1">
      <c r="A107" s="2" t="s">
        <v>268</v>
      </c>
      <c r="B107" s="7">
        <v>-1995</v>
      </c>
      <c r="C107" s="7">
        <v>20377</v>
      </c>
      <c r="D107" s="7">
        <v>-27572</v>
      </c>
      <c r="E107" s="7">
        <v>57524</v>
      </c>
      <c r="F107" s="7">
        <v>103417</v>
      </c>
      <c r="G107" s="7">
        <v>136580</v>
      </c>
      <c r="H107" s="7">
        <v>204327</v>
      </c>
      <c r="I107" s="7">
        <v>302836</v>
      </c>
      <c r="J107" s="7">
        <v>304945</v>
      </c>
      <c r="K107" s="7">
        <v>426459</v>
      </c>
      <c r="L107" s="7">
        <v>376549</v>
      </c>
      <c r="M107" s="1">
        <v>343062</v>
      </c>
      <c r="N107" s="14"/>
      <c r="O107" s="32" t="s">
        <v>269</v>
      </c>
      <c r="P107" s="2">
        <v>19796</v>
      </c>
      <c r="Q107" s="2">
        <v>26366</v>
      </c>
    </row>
    <row r="108" spans="1:27" ht="14.323359770390807" customHeight="1">
      <c r="A108" s="2" t="s">
        <v>269</v>
      </c>
      <c r="B108" s="7">
        <v>-2606</v>
      </c>
      <c r="C108" s="7">
        <v>3398</v>
      </c>
      <c r="D108" s="7">
        <v>5192</v>
      </c>
      <c r="E108" s="7">
        <v>9156</v>
      </c>
      <c r="F108" s="7">
        <v>30607</v>
      </c>
      <c r="G108" s="7">
        <v>39743</v>
      </c>
      <c r="H108" s="7">
        <v>66631</v>
      </c>
      <c r="I108" s="7">
        <v>9651</v>
      </c>
      <c r="J108" s="7">
        <v>113122</v>
      </c>
      <c r="K108" s="7">
        <v>144172</v>
      </c>
      <c r="L108" s="7">
        <v>16504</v>
      </c>
      <c r="M108" s="1">
        <v>164947</v>
      </c>
      <c r="N108" s="14"/>
      <c r="O108" s="32" t="s">
        <v>270</v>
      </c>
      <c r="P108" s="2">
        <v>-4020</v>
      </c>
      <c r="Q108" s="2">
        <v>-6180</v>
      </c>
    </row>
    <row r="109" spans="1:27" ht="16.792970515454424" customHeight="1">
      <c r="A109" s="2" t="s">
        <v>270</v>
      </c>
      <c r="B109" s="7">
        <v>-1920</v>
      </c>
      <c r="C109" s="7">
        <v>-4347</v>
      </c>
      <c r="D109" s="7">
        <v>-8110</v>
      </c>
      <c r="E109" s="7">
        <v>-11492</v>
      </c>
      <c r="F109" s="7">
        <v>-15624</v>
      </c>
      <c r="G109" s="7">
        <v>-20478</v>
      </c>
      <c r="H109" s="7">
        <v>-23967</v>
      </c>
      <c r="I109" s="7">
        <v>-28273</v>
      </c>
      <c r="J109" s="7">
        <v>-31568</v>
      </c>
      <c r="K109" s="7">
        <v>-37811</v>
      </c>
      <c r="L109" s="7">
        <v>-40149</v>
      </c>
      <c r="M109" s="1">
        <v>-40007</v>
      </c>
      <c r="N109" s="14"/>
      <c r="O109" s="32" t="s">
        <v>271</v>
      </c>
      <c r="P109" s="2">
        <v>-32979</v>
      </c>
      <c r="Q109" s="2">
        <v>-345822</v>
      </c>
    </row>
    <row r="110" spans="1:27" ht="14.32342081575977" customHeight="1">
      <c r="A110" s="2" t="s">
        <v>271</v>
      </c>
      <c r="B110" s="7">
        <v>-16156</v>
      </c>
      <c r="C110" s="7">
        <v>165294</v>
      </c>
      <c r="D110" s="7">
        <v>98348</v>
      </c>
      <c r="E110" s="7">
        <v>14661</v>
      </c>
      <c r="F110" s="7">
        <v>287106</v>
      </c>
      <c r="G110" s="7">
        <v>278824</v>
      </c>
      <c r="H110" s="7">
        <v>239682</v>
      </c>
      <c r="I110" s="7">
        <v>401342</v>
      </c>
      <c r="J110" s="7">
        <v>388508</v>
      </c>
      <c r="K110" s="7">
        <v>64130</v>
      </c>
      <c r="L110" s="7">
        <v>1471793</v>
      </c>
      <c r="M110" s="1">
        <v>775592</v>
      </c>
      <c r="N110" s="14"/>
      <c r="O110" s="32" t="s">
        <v>272</v>
      </c>
      <c r="P110" s="2">
        <v>29544</v>
      </c>
      <c r="Q110" s="2">
        <v>-97411</v>
      </c>
    </row>
    <row r="111" spans="1:27" ht="16.76488755211115" customHeight="1">
      <c r="A111" s="2" t="s">
        <v>272</v>
      </c>
      <c r="B111" s="7">
        <v>202</v>
      </c>
      <c r="C111" s="7">
        <v>30345</v>
      </c>
      <c r="D111" s="7">
        <v>-29099</v>
      </c>
      <c r="E111" s="7">
        <v>-62885</v>
      </c>
      <c r="F111" s="7">
        <v>-19285</v>
      </c>
      <c r="G111" s="7">
        <v>-4957</v>
      </c>
      <c r="H111" s="7">
        <v>-64245</v>
      </c>
      <c r="I111" s="7">
        <v>-22152</v>
      </c>
      <c r="J111" s="7">
        <v>-1728</v>
      </c>
      <c r="K111" s="7">
        <v>40276</v>
      </c>
      <c r="L111" s="7">
        <v>43928</v>
      </c>
      <c r="M111" s="1">
        <v>114548</v>
      </c>
      <c r="N111" s="14"/>
      <c r="O111" s="32" t="s">
        <v>273</v>
      </c>
      <c r="P111" s="2">
        <v>-11658</v>
      </c>
      <c r="Q111" s="2">
        <v>-64930.4</v>
      </c>
    </row>
    <row r="112" spans="1:27" ht="16.792950166998406" customHeight="1">
      <c r="A112" s="2" t="s">
        <v>273</v>
      </c>
      <c r="B112" s="7">
        <v>721973</v>
      </c>
      <c r="C112" s="7">
        <v>2941168</v>
      </c>
      <c r="D112" s="7">
        <v>1243147</v>
      </c>
      <c r="E112" s="7">
        <v>-265559</v>
      </c>
      <c r="F112" s="7">
        <v>1249162</v>
      </c>
      <c r="G112" s="7">
        <v>10559</v>
      </c>
      <c r="H112" s="7">
        <v>-506464</v>
      </c>
      <c r="I112" s="7">
        <v>1598309</v>
      </c>
      <c r="J112" s="7">
        <v>1391354</v>
      </c>
      <c r="K112" s="7">
        <v>928703</v>
      </c>
      <c r="L112" s="7">
        <v>10764049</v>
      </c>
      <c r="M112" s="1">
        <v>190613.21</v>
      </c>
      <c r="N112" s="14"/>
      <c r="O112" s="32" t="s">
        <v>274</v>
      </c>
      <c r="P112" s="2">
        <v>4065</v>
      </c>
      <c r="Q112" s="2">
        <v>8071</v>
      </c>
    </row>
    <row r="113" spans="1:27" ht="16.79290947008576" customHeight="1">
      <c r="A113" s="2" t="s">
        <v>274</v>
      </c>
      <c r="B113" s="7">
        <v>1485</v>
      </c>
      <c r="C113" s="7">
        <v>1952</v>
      </c>
      <c r="D113" s="7">
        <v>2873</v>
      </c>
      <c r="E113" s="7">
        <v>3191</v>
      </c>
      <c r="F113" s="7">
        <v>5193</v>
      </c>
      <c r="G113" s="7">
        <v>7213</v>
      </c>
      <c r="H113" s="7">
        <v>10462</v>
      </c>
      <c r="I113" s="7">
        <v>12699</v>
      </c>
      <c r="J113" s="7">
        <v>16017</v>
      </c>
      <c r="K113" s="7">
        <v>18972</v>
      </c>
      <c r="L113" s="7">
        <v>20457</v>
      </c>
      <c r="M113" s="1">
        <v>22527</v>
      </c>
      <c r="N113" s="14"/>
      <c r="O113" s="32" t="s">
        <v>275</v>
      </c>
      <c r="P113" s="2">
        <v>-2273</v>
      </c>
      <c r="Q113" s="2">
        <v>16570</v>
      </c>
    </row>
    <row r="114" spans="1:27" ht="15.311216277490226" customHeight="1">
      <c r="A114" s="2" t="s">
        <v>275</v>
      </c>
      <c r="B114" s="7">
        <v>2268</v>
      </c>
      <c r="C114" s="7">
        <v>184</v>
      </c>
      <c r="D114" s="7">
        <v>697</v>
      </c>
      <c r="E114" s="7">
        <v>20507</v>
      </c>
      <c r="F114" s="7">
        <v>35137</v>
      </c>
      <c r="G114" s="7">
        <v>30062</v>
      </c>
      <c r="H114" s="7">
        <v>38685</v>
      </c>
      <c r="I114" s="7">
        <v>57016</v>
      </c>
      <c r="J114" s="7">
        <v>77794</v>
      </c>
      <c r="K114" s="7">
        <v>103859</v>
      </c>
      <c r="L114" s="7">
        <v>107136</v>
      </c>
      <c r="M114" s="1">
        <v>118826</v>
      </c>
      <c r="N114" s="14"/>
      <c r="O114" s="32" t="s">
        <v>276</v>
      </c>
      <c r="P114" s="2">
        <v>12758</v>
      </c>
      <c r="Q114" s="2">
        <v>24383</v>
      </c>
    </row>
    <row r="115" spans="1:27" ht="15.805114008355304" customHeight="1">
      <c r="A115" s="2" t="s">
        <v>276</v>
      </c>
      <c r="B115" s="7">
        <v>8348</v>
      </c>
      <c r="C115" s="7">
        <v>14914</v>
      </c>
      <c r="D115" s="7">
        <v>26314</v>
      </c>
      <c r="E115" s="7">
        <v>38069</v>
      </c>
      <c r="F115" s="7">
        <v>47011</v>
      </c>
      <c r="G115" s="7">
        <v>56682</v>
      </c>
      <c r="H115" s="7">
        <v>66202</v>
      </c>
      <c r="I115" s="7">
        <v>74455</v>
      </c>
      <c r="J115" s="7">
        <v>8194</v>
      </c>
      <c r="K115" s="7">
        <v>94882</v>
      </c>
      <c r="L115" s="7">
        <v>101652</v>
      </c>
      <c r="M115" s="1">
        <v>115222</v>
      </c>
      <c r="N115" s="14"/>
      <c r="O115" s="32" t="s">
        <v>277</v>
      </c>
      <c r="P115" s="2">
        <v>3843</v>
      </c>
      <c r="Q115" s="2">
        <v>-32216</v>
      </c>
    </row>
    <row r="116" spans="1:27" ht="15.311195929033905" customHeight="1">
      <c r="A116" s="2" t="s">
        <v>277</v>
      </c>
      <c r="B116" s="2">
        <v>-14993</v>
      </c>
      <c r="C116" s="7">
        <v>-20854</v>
      </c>
      <c r="D116" s="7">
        <v>9659</v>
      </c>
      <c r="E116" s="7">
        <v>8209</v>
      </c>
      <c r="F116" s="7">
        <v>-52721</v>
      </c>
      <c r="G116" s="7">
        <v>-53908</v>
      </c>
      <c r="H116" s="7">
        <v>56825</v>
      </c>
      <c r="I116" s="7">
        <v>58915</v>
      </c>
      <c r="J116" s="7">
        <v>23855</v>
      </c>
      <c r="K116" s="7">
        <v>25637</v>
      </c>
      <c r="L116" s="7">
        <v>8138</v>
      </c>
      <c r="M116" s="1">
        <v>57175</v>
      </c>
      <c r="N116" s="14"/>
      <c r="O116" s="32" t="s">
        <v>278</v>
      </c>
      <c r="P116" s="2">
        <v>4000</v>
      </c>
      <c r="Q116" s="2">
        <v>8684</v>
      </c>
    </row>
    <row r="117" spans="1:27" ht="15.311216277490226" customHeight="1">
      <c r="A117" s="2" t="s">
        <v>278</v>
      </c>
      <c r="B117" s="2">
        <v>6008</v>
      </c>
      <c r="C117" s="7">
        <v>13581</v>
      </c>
      <c r="D117" s="7">
        <v>20596</v>
      </c>
      <c r="E117" s="7">
        <v>23457</v>
      </c>
      <c r="F117" s="7">
        <v>30093</v>
      </c>
      <c r="G117" s="7">
        <v>30303</v>
      </c>
      <c r="H117" s="7">
        <v>40993</v>
      </c>
      <c r="I117" s="7">
        <v>47406</v>
      </c>
      <c r="J117" s="7">
        <v>58270</v>
      </c>
      <c r="K117" s="7">
        <v>61249</v>
      </c>
      <c r="L117" s="7">
        <v>71378</v>
      </c>
      <c r="M117" s="1">
        <v>78519</v>
      </c>
      <c r="N117" s="14"/>
      <c r="O117" s="32" t="s">
        <v>279</v>
      </c>
      <c r="P117" s="2">
        <v>11563</v>
      </c>
      <c r="Q117">
        <v>0</v>
      </c>
    </row>
    <row r="118" spans="1:27" ht="17.28682754940716" customHeight="1">
      <c r="A118" s="2" t="s">
        <v>279</v>
      </c>
      <c r="B118" s="7">
        <v>2567</v>
      </c>
      <c r="C118" s="7">
        <v>-2451</v>
      </c>
      <c r="D118" s="7">
        <v>-7754</v>
      </c>
      <c r="E118" s="7">
        <v>-15794</v>
      </c>
      <c r="F118" s="7">
        <v>-18411</v>
      </c>
      <c r="G118" s="7">
        <v>-23322</v>
      </c>
      <c r="H118" s="7">
        <v>-30656</v>
      </c>
      <c r="I118" s="7">
        <v>-35202</v>
      </c>
      <c r="J118" s="7">
        <v>-39741</v>
      </c>
      <c r="K118" s="7">
        <v>-44862</v>
      </c>
      <c r="L118" s="7">
        <v>-50504</v>
      </c>
      <c r="M118" s="1">
        <v>-54335</v>
      </c>
      <c r="N118" s="14"/>
      <c r="O118" s="32" t="s">
        <v>280</v>
      </c>
      <c r="P118" s="2">
        <v>19297</v>
      </c>
    </row>
    <row r="119" spans="1:27" ht="17.286888594776126" customHeight="1">
      <c r="A119" s="2" t="s">
        <v>280</v>
      </c>
      <c r="B119" s="7">
        <v>105595</v>
      </c>
      <c r="C119" s="7">
        <v>247566</v>
      </c>
      <c r="D119" s="7">
        <v>262664</v>
      </c>
      <c r="E119" s="7">
        <v>488445</v>
      </c>
      <c r="F119" s="7"/>
      <c r="G119" s="7">
        <v>776911</v>
      </c>
      <c r="H119" s="7">
        <v>940674</v>
      </c>
      <c r="I119" s="7">
        <v>1183719</v>
      </c>
      <c r="J119" s="7">
        <v>1302810</v>
      </c>
      <c r="K119" s="7">
        <v>1505141</v>
      </c>
      <c r="L119" s="7">
        <v>1405266</v>
      </c>
      <c r="M119" s="1">
        <v>1561489</v>
      </c>
      <c r="N119" s="14"/>
      <c r="O119" s="32" t="s">
        <v>281</v>
      </c>
      <c r="P119" s="2">
        <v>401972</v>
      </c>
      <c r="Q119" s="2">
        <v>679659</v>
      </c>
    </row>
    <row r="120" spans="1:27">
      <c r="A120" s="2" t="s">
        <v>281</v>
      </c>
      <c r="B120" s="7">
        <v>34388</v>
      </c>
      <c r="C120" s="7">
        <v>143173</v>
      </c>
      <c r="D120" s="7">
        <v>154035</v>
      </c>
      <c r="E120" s="7">
        <v>423930</v>
      </c>
      <c r="F120" s="7">
        <v>403727</v>
      </c>
      <c r="G120" s="7">
        <v>324109</v>
      </c>
      <c r="H120" s="7">
        <v>560468</v>
      </c>
      <c r="I120" s="7">
        <v>713380</v>
      </c>
      <c r="J120" s="7">
        <v>723292</v>
      </c>
      <c r="K120" s="7">
        <v>694270</v>
      </c>
      <c r="L120" s="7">
        <v>1026263</v>
      </c>
      <c r="M120" s="1">
        <v>724039</v>
      </c>
      <c r="N120" s="14"/>
      <c r="O120" s="32" t="s">
        <v>282</v>
      </c>
      <c r="P120" s="2">
        <v>63060</v>
      </c>
      <c r="Q120" s="2">
        <v>3111252.48</v>
      </c>
    </row>
    <row r="121" spans="1:27" ht="14.860596359871428" customHeight="1">
      <c r="A121" s="2" t="s">
        <v>282</v>
      </c>
      <c r="B121" s="7">
        <v>16236</v>
      </c>
      <c r="C121" s="7">
        <v>148379</v>
      </c>
      <c r="D121" s="7">
        <v>211413</v>
      </c>
      <c r="E121" s="7">
        <v>400503</v>
      </c>
      <c r="F121" s="7">
        <v>517250</v>
      </c>
      <c r="G121" s="7">
        <v>686144</v>
      </c>
      <c r="H121" s="7">
        <v>788826</v>
      </c>
      <c r="I121" s="7">
        <v>949238</v>
      </c>
      <c r="J121" s="7">
        <v>1047009</v>
      </c>
      <c r="K121" s="7">
        <v>1200932</v>
      </c>
      <c r="L121" s="7">
        <v>1362481</v>
      </c>
      <c r="M121" s="1">
        <v>1275427</v>
      </c>
      <c r="N121" s="14"/>
      <c r="O121" s="32" t="s">
        <v>283</v>
      </c>
      <c r="P121">
        <v>51</v>
      </c>
    </row>
    <row r="122" spans="1:27" ht="17.780745628728557" customHeight="1">
      <c r="A122" s="2" t="s">
        <v>283</v>
      </c>
      <c r="B122">
        <v>117</v>
      </c>
      <c r="C122" s="2">
        <v>12652</v>
      </c>
      <c r="D122" s="7">
        <v>12346</v>
      </c>
      <c r="E122" s="7">
        <v>66012</v>
      </c>
      <c r="F122" s="7">
        <v>35923</v>
      </c>
      <c r="G122" s="7">
        <v>21613</v>
      </c>
      <c r="H122" s="7">
        <v>19036</v>
      </c>
      <c r="I122" s="7">
        <v>25742</v>
      </c>
      <c r="J122" s="7">
        <v>60321</v>
      </c>
      <c r="K122" s="7">
        <v>88280</v>
      </c>
      <c r="L122" s="7">
        <v>74155</v>
      </c>
      <c r="M122" s="1">
        <v>92943</v>
      </c>
      <c r="N122" s="14"/>
      <c r="O122" s="32" t="s">
        <v>284</v>
      </c>
      <c r="P122" s="2">
        <v>106537</v>
      </c>
      <c r="Q122" s="2">
        <v>215135</v>
      </c>
    </row>
    <row r="123" spans="1:27" ht="15.805134356811928" customHeight="1">
      <c r="A123" s="2" t="s">
        <v>284</v>
      </c>
      <c r="B123" s="7">
        <v>100735</v>
      </c>
      <c r="C123" s="7">
        <v>174042</v>
      </c>
      <c r="D123" s="7">
        <v>275822</v>
      </c>
      <c r="E123" s="7">
        <v>393283</v>
      </c>
      <c r="F123" s="7">
        <v>517995</v>
      </c>
      <c r="G123" s="7">
        <v>600361</v>
      </c>
      <c r="H123" s="7">
        <v>706818</v>
      </c>
      <c r="I123" s="7">
        <v>793903</v>
      </c>
      <c r="J123" s="7">
        <v>94549</v>
      </c>
      <c r="K123" s="7">
        <v>1046399</v>
      </c>
      <c r="L123" s="7">
        <v>1194384</v>
      </c>
      <c r="M123" s="1">
        <v>1368041</v>
      </c>
      <c r="N123" s="14"/>
      <c r="O123" s="32" t="s">
        <v>285</v>
      </c>
      <c r="P123" s="2">
        <v>-76142</v>
      </c>
      <c r="Q123">
        <v>-106.285</v>
      </c>
    </row>
    <row r="124" spans="1:27" ht="15.31144823240417" customHeight="1">
      <c r="A124" s="2" t="s">
        <v>285</v>
      </c>
      <c r="B124" s="7">
        <v>-2591</v>
      </c>
      <c r="C124" s="7">
        <v>-17842</v>
      </c>
      <c r="D124" s="7">
        <v>18943</v>
      </c>
      <c r="E124" s="7">
        <v>3163</v>
      </c>
      <c r="F124" s="7">
        <v>-28484</v>
      </c>
      <c r="G124" s="7">
        <v>-22311</v>
      </c>
      <c r="H124" s="7">
        <v>-5666</v>
      </c>
      <c r="I124" s="7">
        <v>-15607</v>
      </c>
      <c r="J124" s="7">
        <v>-15534</v>
      </c>
      <c r="K124" s="7">
        <v>-46961</v>
      </c>
      <c r="L124" s="7">
        <v>-7022</v>
      </c>
      <c r="M124" s="1">
        <v>-121359</v>
      </c>
      <c r="N124" s="14"/>
      <c r="O124" s="42" t="s">
        <v>286</v>
      </c>
      <c r="P124" s="2">
        <v>37479</v>
      </c>
      <c r="Q124" s="2">
        <v>50926</v>
      </c>
    </row>
    <row r="125" spans="1:27" ht="16.792950166998406" customHeight="1">
      <c r="A125" s="47" t="s">
        <v>286</v>
      </c>
      <c r="B125" s="7">
        <v>30645</v>
      </c>
      <c r="C125" s="7">
        <v>65177</v>
      </c>
      <c r="D125" s="7">
        <v>21135</v>
      </c>
      <c r="E125" s="7">
        <v>69936</v>
      </c>
      <c r="F125" s="7">
        <v>93472</v>
      </c>
      <c r="G125" s="7">
        <v>130081</v>
      </c>
      <c r="H125" s="7">
        <v>132542</v>
      </c>
      <c r="I125" s="7">
        <v>151902</v>
      </c>
      <c r="J125" s="7">
        <v>14853</v>
      </c>
      <c r="K125" s="7">
        <v>177805</v>
      </c>
      <c r="L125" s="7">
        <v>174621</v>
      </c>
      <c r="M125" s="1">
        <v>6036</v>
      </c>
      <c r="N125" s="14"/>
      <c r="O125" s="32" t="s">
        <v>287</v>
      </c>
      <c r="P125" s="2">
        <v>-32673</v>
      </c>
      <c r="Q125" s="2">
        <v>-49511.99</v>
      </c>
    </row>
    <row r="126" spans="1:27" ht="14.817298198168524" customHeight="1">
      <c r="A126" s="2" t="s">
        <v>287</v>
      </c>
      <c r="B126" s="7">
        <v>195133</v>
      </c>
      <c r="C126" s="7">
        <v>151255</v>
      </c>
      <c r="D126" s="7">
        <v>174997</v>
      </c>
      <c r="E126" s="7">
        <v>102386</v>
      </c>
      <c r="F126" s="7">
        <v>72176</v>
      </c>
      <c r="G126" s="7">
        <v>7814</v>
      </c>
      <c r="H126" s="7">
        <v>48896</v>
      </c>
      <c r="I126" s="7">
        <v>14190</v>
      </c>
      <c r="J126" s="7">
        <v>52061</v>
      </c>
      <c r="K126" s="7">
        <v>46844</v>
      </c>
      <c r="L126" s="7">
        <v>143758</v>
      </c>
      <c r="M126" s="1">
        <v>102377</v>
      </c>
      <c r="N126" s="14"/>
      <c r="O126" s="32" t="s">
        <v>288</v>
      </c>
      <c r="P126" s="2">
        <v>-21861</v>
      </c>
      <c r="Q126" s="2">
        <v>-43673</v>
      </c>
    </row>
    <row r="127" spans="1:27" ht="17.780745628728862" customHeight="1">
      <c r="A127" s="2" t="s">
        <v>288</v>
      </c>
      <c r="B127" s="7">
        <v>-17425</v>
      </c>
      <c r="C127" s="7">
        <v>-37693</v>
      </c>
      <c r="D127" s="7">
        <v>-45885</v>
      </c>
      <c r="E127" s="7">
        <v>-6008</v>
      </c>
      <c r="F127" s="7">
        <v>-75784</v>
      </c>
      <c r="G127" s="7">
        <v>-90109</v>
      </c>
      <c r="H127" s="7">
        <v>-110051</v>
      </c>
      <c r="I127" s="7">
        <v>-127288</v>
      </c>
      <c r="J127" s="7">
        <v>-143246</v>
      </c>
      <c r="K127" s="7">
        <v>-157101</v>
      </c>
      <c r="L127" s="7">
        <v>-172973</v>
      </c>
      <c r="M127" s="1">
        <v>-19533</v>
      </c>
      <c r="N127" s="14"/>
      <c r="O127" s="32" t="s">
        <v>289</v>
      </c>
      <c r="P127" s="2">
        <v>-83453</v>
      </c>
      <c r="Q127" s="2">
        <v>-54214</v>
      </c>
    </row>
    <row r="128" spans="1:27" ht="14.817277849712505" customHeight="1">
      <c r="A128" s="2" t="s">
        <v>289</v>
      </c>
      <c r="B128" s="7">
        <v>-54701</v>
      </c>
      <c r="C128" s="7">
        <v>-306846</v>
      </c>
      <c r="D128" s="7">
        <v>-58602</v>
      </c>
      <c r="E128" s="7">
        <v>-53044</v>
      </c>
      <c r="F128" s="7">
        <v>5319</v>
      </c>
      <c r="G128" s="7">
        <v>177866</v>
      </c>
      <c r="H128" s="7">
        <v>73723</v>
      </c>
      <c r="I128" s="7">
        <v>-104919</v>
      </c>
      <c r="J128" s="7">
        <v>159408</v>
      </c>
      <c r="K128" s="7">
        <v>128006</v>
      </c>
      <c r="L128" s="7">
        <v>505373</v>
      </c>
      <c r="M128" s="1">
        <v>689954</v>
      </c>
      <c r="N128" s="14"/>
      <c r="O128" s="32" t="s">
        <v>290</v>
      </c>
      <c r="P128" s="2">
        <v>116009</v>
      </c>
      <c r="Q128" s="2">
        <v>263404</v>
      </c>
    </row>
    <row r="129" spans="1:27">
      <c r="A129" s="2" t="s">
        <v>290</v>
      </c>
      <c r="B129" s="7">
        <v>143141</v>
      </c>
      <c r="C129" s="7">
        <v>317871</v>
      </c>
      <c r="D129" s="7">
        <v>30631</v>
      </c>
      <c r="E129" s="7">
        <v>483583</v>
      </c>
      <c r="F129" s="7">
        <v>654968</v>
      </c>
      <c r="G129" s="7">
        <v>892811</v>
      </c>
      <c r="H129" s="7">
        <v>1051381</v>
      </c>
      <c r="I129" s="7">
        <v>1269170</v>
      </c>
      <c r="J129" s="7">
        <v>1438441</v>
      </c>
      <c r="K129" s="7">
        <v>1696837</v>
      </c>
      <c r="L129" s="7">
        <v>1829758</v>
      </c>
      <c r="M129" s="1">
        <v>2085543</v>
      </c>
      <c r="N129" s="14"/>
      <c r="O129" s="32" t="s">
        <v>291</v>
      </c>
      <c r="P129" s="2">
        <v>12239</v>
      </c>
      <c r="Q129" s="2">
        <v>61522.64</v>
      </c>
    </row>
    <row r="130" spans="1:27" ht="16.118837431838983" customHeight="1">
      <c r="A130" s="2" t="s">
        <v>291</v>
      </c>
      <c r="B130" s="7">
        <v>1411</v>
      </c>
      <c r="C130" s="7">
        <v>51561</v>
      </c>
      <c r="D130" s="7">
        <v>1787</v>
      </c>
      <c r="E130" s="7">
        <v>157229</v>
      </c>
      <c r="F130" s="7">
        <v>187547</v>
      </c>
      <c r="G130" s="7">
        <v>19981</v>
      </c>
      <c r="H130" s="7">
        <v>240839</v>
      </c>
      <c r="I130" s="7">
        <v>302806</v>
      </c>
      <c r="J130" s="7">
        <v>327862</v>
      </c>
      <c r="K130" s="7">
        <v>405602</v>
      </c>
      <c r="L130" s="7">
        <v>397562</v>
      </c>
      <c r="M130" s="1">
        <v>488941</v>
      </c>
      <c r="N130" s="14"/>
      <c r="O130" s="32" t="s">
        <v>292</v>
      </c>
      <c r="P130" s="2">
        <v>4299</v>
      </c>
      <c r="Q130" s="2">
        <v>40563</v>
      </c>
    </row>
    <row r="131" spans="1:27" ht="15.311195929033905" customHeight="1">
      <c r="A131" s="2" t="s">
        <v>292</v>
      </c>
      <c r="B131" s="7">
        <v>16252</v>
      </c>
      <c r="C131" s="7">
        <v>41545</v>
      </c>
      <c r="D131" s="7">
        <v>42691</v>
      </c>
      <c r="E131" s="7">
        <v>57079</v>
      </c>
      <c r="F131" s="7">
        <v>29583</v>
      </c>
      <c r="G131" s="7">
        <v>70866</v>
      </c>
      <c r="H131" s="7">
        <v>116432</v>
      </c>
      <c r="I131" s="7">
        <v>152387</v>
      </c>
      <c r="J131" s="7">
        <v>210387</v>
      </c>
      <c r="K131" s="7">
        <v>228842</v>
      </c>
      <c r="L131" s="7">
        <v>279677</v>
      </c>
      <c r="M131" s="1">
        <v>272907</v>
      </c>
      <c r="N131" s="14"/>
      <c r="O131" s="32" t="s">
        <v>293</v>
      </c>
      <c r="P131" s="2">
        <v>-11496</v>
      </c>
      <c r="Q131" s="2">
        <v>-19035</v>
      </c>
    </row>
    <row r="132" spans="1:27" ht="16.792950166998406" customHeight="1">
      <c r="A132" s="2" t="s">
        <v>293</v>
      </c>
      <c r="B132" s="7">
        <v>9223</v>
      </c>
      <c r="C132" s="7">
        <v>-9383</v>
      </c>
      <c r="D132" s="7">
        <v>-27454</v>
      </c>
      <c r="E132" s="7">
        <v>-36936</v>
      </c>
      <c r="F132" s="7">
        <v>-51901</v>
      </c>
      <c r="G132" s="7">
        <v>-68275</v>
      </c>
      <c r="H132" s="7">
        <v>-81010</v>
      </c>
      <c r="I132" s="7">
        <v>-115204</v>
      </c>
      <c r="J132" s="7">
        <v>-139513</v>
      </c>
      <c r="K132" s="7">
        <v>-141420</v>
      </c>
      <c r="L132" s="7">
        <v>-249929</v>
      </c>
      <c r="M132" s="1">
        <v>-256272</v>
      </c>
      <c r="N132" s="14"/>
      <c r="O132" s="32" t="s">
        <v>294</v>
      </c>
      <c r="P132" s="2">
        <v>-42356</v>
      </c>
      <c r="Q132" s="2">
        <v>-33827</v>
      </c>
    </row>
    <row r="133" spans="1:27" ht="16.79292981854208" customHeight="1">
      <c r="A133" s="2" t="s">
        <v>294</v>
      </c>
      <c r="B133" s="7">
        <v>3073</v>
      </c>
      <c r="C133" s="7">
        <v>138011</v>
      </c>
      <c r="D133" s="7">
        <v>39351</v>
      </c>
      <c r="E133" s="7">
        <v>210896</v>
      </c>
      <c r="F133" s="7">
        <v>277517</v>
      </c>
      <c r="G133" s="7">
        <v>383025</v>
      </c>
      <c r="H133" s="7">
        <v>497557</v>
      </c>
      <c r="I133" s="7">
        <v>621992</v>
      </c>
      <c r="J133" s="7">
        <v>646556</v>
      </c>
      <c r="K133" s="7">
        <v>962277</v>
      </c>
      <c r="L133" s="7">
        <v>903836</v>
      </c>
      <c r="M133" s="1">
        <v>992872</v>
      </c>
      <c r="N133" s="14"/>
      <c r="O133" s="32" t="s">
        <v>295</v>
      </c>
      <c r="P133" s="2">
        <v>-306187</v>
      </c>
      <c r="Q133" s="2">
        <v>-367419</v>
      </c>
    </row>
    <row r="134" spans="1:27">
      <c r="A134" s="2" t="s">
        <v>295</v>
      </c>
      <c r="B134" s="7">
        <v>209005</v>
      </c>
      <c r="C134" s="7">
        <v>237471</v>
      </c>
      <c r="D134" s="7">
        <v>4542929</v>
      </c>
      <c r="E134" s="7">
        <v>4572037</v>
      </c>
      <c r="F134" s="7">
        <v>4792817</v>
      </c>
      <c r="G134" s="7">
        <v>3855260</v>
      </c>
      <c r="H134" s="7">
        <v>4013313</v>
      </c>
      <c r="I134" s="7">
        <v>3996531</v>
      </c>
      <c r="J134" s="7">
        <v>4956800</v>
      </c>
      <c r="K134" s="7">
        <v>4846242</v>
      </c>
      <c r="L134" s="7">
        <v>4705960</v>
      </c>
      <c r="M134" s="1">
        <v>4456641</v>
      </c>
      <c r="N134" s="14"/>
      <c r="O134" s="32" t="s">
        <v>296</v>
      </c>
      <c r="P134" s="2">
        <v>-12841</v>
      </c>
      <c r="Q134" s="2">
        <v>3407</v>
      </c>
    </row>
    <row r="135" spans="1:27" ht="14.646760237694556" customHeight="1">
      <c r="A135" s="2" t="s">
        <v>296</v>
      </c>
      <c r="B135" s="7">
        <v>17230</v>
      </c>
      <c r="C135" s="7">
        <v>58023</v>
      </c>
      <c r="D135" s="7">
        <v>58548</v>
      </c>
      <c r="E135" s="7">
        <v>116110</v>
      </c>
      <c r="F135" s="7">
        <v>136430</v>
      </c>
      <c r="G135" s="7">
        <v>179801</v>
      </c>
      <c r="H135" s="7">
        <v>230695</v>
      </c>
      <c r="I135" s="7">
        <v>274409</v>
      </c>
      <c r="J135" s="7">
        <v>301749</v>
      </c>
      <c r="K135" s="7">
        <v>403914</v>
      </c>
      <c r="L135" s="7">
        <v>455389</v>
      </c>
      <c r="M135" s="1">
        <v>559898</v>
      </c>
      <c r="N135" s="14"/>
      <c r="O135" s="32" t="s">
        <v>297</v>
      </c>
      <c r="P135" s="2">
        <v>-42817</v>
      </c>
      <c r="Q135" s="2">
        <v>-54482.9</v>
      </c>
    </row>
    <row r="136" spans="1:27">
      <c r="A136" s="2" t="s">
        <v>297</v>
      </c>
      <c r="B136" s="7">
        <v>-444091</v>
      </c>
      <c r="C136" s="7">
        <v>-1007084</v>
      </c>
      <c r="D136" s="7">
        <v>-1511790</v>
      </c>
      <c r="E136" s="7">
        <v>-1856011</v>
      </c>
      <c r="F136" s="7">
        <v>-1291740</v>
      </c>
      <c r="G136" s="7">
        <v>-1288331</v>
      </c>
      <c r="H136" s="7">
        <v>-1738966</v>
      </c>
      <c r="I136" s="7">
        <v>-2162018</v>
      </c>
      <c r="J136" s="7">
        <v>-2764668</v>
      </c>
      <c r="K136" s="7">
        <v>-3337310</v>
      </c>
      <c r="L136" s="7">
        <v>-3946189</v>
      </c>
      <c r="M136" s="1">
        <v>-42133</v>
      </c>
      <c r="N136" s="14"/>
      <c r="O136" s="33"/>
    </row>
    <row r="137" spans="1:27">
      <c r="A137" t="s">
        <v>155</v>
      </c>
      <c r="B137" s="1">
        <f>sum(B136:B88)</f>
        <v>599370.75</v>
      </c>
      <c r="C137" s="1">
        <f>sum(C136:C88)</f>
        <v>3318124</v>
      </c>
      <c r="D137" s="1">
        <f>sum(D136:D88)</f>
        <v>4727011.09</v>
      </c>
      <c r="E137" s="1">
        <f>sum(E136:E88)</f>
        <v>5215907.02</v>
      </c>
      <c r="F137" s="1">
        <f>sum(F136:F88)</f>
        <v>9038660.12</v>
      </c>
      <c r="G137" s="1">
        <f>sum(G136:G88)</f>
        <v>7962316.18</v>
      </c>
      <c r="H137" s="1">
        <f>sum(H136:H88)</f>
        <v>8861400.04</v>
      </c>
      <c r="I137" s="1">
        <f>sum(I136:I88)</f>
        <v>12080463.38</v>
      </c>
      <c r="J137" s="1">
        <f>sum(J136:J88)</f>
        <v>11826213.4</v>
      </c>
      <c r="K137" s="1">
        <f>sum(K136:K88)</f>
        <v>13722728.29</v>
      </c>
      <c r="L137" s="1">
        <f>sum(L136:L88)</f>
        <v>25220094.54</v>
      </c>
      <c r="M137" s="1">
        <f>sum(M136:M88)</f>
        <v>19312286.69</v>
      </c>
      <c r="N137" s="14"/>
      <c r="O137" s="33" t="s">
        <v>155</v>
      </c>
      <c r="P137" s="2">
        <f>sum(P136:P88)</f>
        <v>-496232.79</v>
      </c>
    </row>
    <row r="138" spans="1:27">
      <c r="A138" t="s">
        <v>486</v>
      </c>
      <c r="E138" t="s">
        <v>487</v>
      </c>
      <c r="M138" s="8"/>
      <c r="N138" s="14"/>
      <c r="O138" s="33"/>
    </row>
    <row r="139" spans="1:27">
      <c r="A139" t="s">
        <v>300</v>
      </c>
      <c r="B139" t="s">
        <v>301</v>
      </c>
      <c r="C139" t="s">
        <v>488</v>
      </c>
      <c r="E139" t="s">
        <v>300</v>
      </c>
      <c r="F139" t="s">
        <v>301</v>
      </c>
      <c r="G139" t="s">
        <v>489</v>
      </c>
      <c r="M139" s="8"/>
      <c r="N139" s="14"/>
      <c r="O139" s="33"/>
    </row>
    <row r="140" spans="1:27">
      <c r="A140">
        <v>1</v>
      </c>
      <c r="B140" t="s">
        <v>304</v>
      </c>
      <c r="C140" s="2">
        <v>1901279</v>
      </c>
      <c r="E140">
        <v>1</v>
      </c>
      <c r="F140" t="s">
        <v>304</v>
      </c>
      <c r="G140" t="s">
        <v>490</v>
      </c>
      <c r="M140" s="8"/>
      <c r="N140" s="14"/>
      <c r="O140" s="33"/>
    </row>
    <row r="141" spans="1:27">
      <c r="A141">
        <v>2</v>
      </c>
      <c r="B141" t="s">
        <v>317</v>
      </c>
      <c r="C141" s="2">
        <v>1303516</v>
      </c>
      <c r="E141">
        <v>2</v>
      </c>
      <c r="F141" t="s">
        <v>470</v>
      </c>
      <c r="G141" t="s">
        <v>491</v>
      </c>
      <c r="M141" s="8"/>
      <c r="N141" s="14"/>
      <c r="O141" s="33"/>
    </row>
    <row r="142" spans="1:27">
      <c r="A142">
        <v>3</v>
      </c>
      <c r="B142" t="s">
        <v>308</v>
      </c>
      <c r="C142" s="2">
        <v>1282705</v>
      </c>
      <c r="E142">
        <v>3</v>
      </c>
      <c r="F142" t="s">
        <v>317</v>
      </c>
      <c r="G142" t="s">
        <v>492</v>
      </c>
      <c r="M142" s="8"/>
      <c r="N142" s="14"/>
      <c r="O142" s="33"/>
    </row>
    <row r="143" spans="1:27">
      <c r="A143">
        <v>4</v>
      </c>
      <c r="B143" t="s">
        <v>315</v>
      </c>
      <c r="C143" s="2">
        <v>1101498</v>
      </c>
      <c r="E143">
        <v>4</v>
      </c>
      <c r="F143" t="s">
        <v>315</v>
      </c>
      <c r="G143" t="s">
        <v>493</v>
      </c>
      <c r="M143" s="8"/>
      <c r="N143" s="14"/>
      <c r="O143" s="33"/>
    </row>
    <row r="144" spans="1:27">
      <c r="A144">
        <v>5</v>
      </c>
      <c r="B144" t="s">
        <v>310</v>
      </c>
      <c r="C144" s="2">
        <v>984409</v>
      </c>
      <c r="E144">
        <v>5</v>
      </c>
      <c r="F144" t="s">
        <v>313</v>
      </c>
      <c r="G144" t="s">
        <v>494</v>
      </c>
      <c r="M144" s="8"/>
      <c r="N144" s="14"/>
      <c r="O144" s="33"/>
    </row>
    <row r="145" spans="1:27">
      <c r="A145">
        <v>6</v>
      </c>
      <c r="B145" t="s">
        <v>319</v>
      </c>
      <c r="C145" s="2">
        <v>856634</v>
      </c>
      <c r="E145">
        <v>6</v>
      </c>
      <c r="F145" t="s">
        <v>308</v>
      </c>
      <c r="G145" t="s">
        <v>495</v>
      </c>
      <c r="M145" s="8"/>
      <c r="N145" s="14"/>
      <c r="O145" s="33"/>
    </row>
    <row r="146" spans="1:27">
      <c r="A146">
        <v>7</v>
      </c>
      <c r="B146" t="s">
        <v>306</v>
      </c>
      <c r="C146" s="2">
        <v>842188</v>
      </c>
      <c r="E146">
        <v>7</v>
      </c>
      <c r="F146" t="s">
        <v>319</v>
      </c>
      <c r="G146" t="s">
        <v>496</v>
      </c>
      <c r="M146" s="8"/>
      <c r="N146" s="14"/>
      <c r="O146" s="33"/>
    </row>
    <row r="147" spans="1:27">
      <c r="A147">
        <v>8</v>
      </c>
      <c r="B147" t="s">
        <v>497</v>
      </c>
      <c r="C147" s="2">
        <v>702721</v>
      </c>
      <c r="E147">
        <v>8</v>
      </c>
      <c r="F147" t="s">
        <v>310</v>
      </c>
      <c r="G147" t="s">
        <v>498</v>
      </c>
      <c r="M147" s="8"/>
      <c r="N147" s="14"/>
      <c r="O147" s="33"/>
    </row>
    <row r="148" spans="1:27">
      <c r="A148">
        <v>9</v>
      </c>
      <c r="B148" t="s">
        <v>499</v>
      </c>
      <c r="C148" s="2">
        <v>654250</v>
      </c>
      <c r="E148">
        <v>9</v>
      </c>
      <c r="F148" t="s">
        <v>497</v>
      </c>
      <c r="G148" t="s">
        <v>500</v>
      </c>
      <c r="M148" s="8"/>
      <c r="N148" s="14"/>
      <c r="O148" s="33"/>
    </row>
    <row r="149" spans="1:27">
      <c r="A149">
        <v>10</v>
      </c>
      <c r="B149" t="s">
        <v>501</v>
      </c>
      <c r="C149" s="2">
        <v>620120</v>
      </c>
      <c r="E149">
        <v>10</v>
      </c>
      <c r="F149" t="s">
        <v>472</v>
      </c>
      <c r="G149" t="s">
        <v>502</v>
      </c>
      <c r="M149" s="8"/>
      <c r="N149" s="14"/>
      <c r="O149" s="33"/>
    </row>
    <row r="150" spans="1:27">
      <c r="M150" s="8"/>
      <c r="N150" s="14"/>
      <c r="O150" s="33"/>
    </row>
    <row r="151" spans="1:27">
      <c r="M151" s="8"/>
      <c r="N151" s="14"/>
      <c r="O151" s="33"/>
    </row>
    <row r="152" spans="1:27">
      <c r="A152" t="s">
        <v>503</v>
      </c>
      <c r="C152" s="2"/>
      <c r="E152" t="s">
        <v>504</v>
      </c>
      <c r="M152" s="8"/>
      <c r="N152" s="14"/>
      <c r="O152" s="33"/>
    </row>
    <row r="153" spans="1:27">
      <c r="A153" t="s">
        <v>300</v>
      </c>
      <c r="B153" t="s">
        <v>301</v>
      </c>
      <c r="C153" s="2" t="s">
        <v>488</v>
      </c>
      <c r="F153" s="2" t="s">
        <v>281</v>
      </c>
      <c r="G153" s="2">
        <v>401972</v>
      </c>
      <c r="M153" s="8"/>
      <c r="N153" s="14"/>
      <c r="O153" s="33"/>
    </row>
    <row r="154" spans="1:27">
      <c r="A154">
        <v>1</v>
      </c>
      <c r="B154" t="s">
        <v>335</v>
      </c>
      <c r="C154" s="2">
        <v>4456641</v>
      </c>
      <c r="F154" s="2" t="s">
        <v>255</v>
      </c>
      <c r="G154" s="2">
        <v>144845</v>
      </c>
      <c r="M154" s="8"/>
      <c r="N154" s="14"/>
      <c r="O154" s="33"/>
    </row>
    <row r="155" spans="1:27">
      <c r="A155">
        <v>2</v>
      </c>
      <c r="B155" t="s">
        <v>329</v>
      </c>
      <c r="C155" s="2">
        <v>2085543</v>
      </c>
      <c r="F155" s="2" t="s">
        <v>290</v>
      </c>
      <c r="G155" s="2">
        <v>116009</v>
      </c>
      <c r="M155" s="8"/>
      <c r="N155" s="14"/>
      <c r="O155" s="33"/>
    </row>
    <row r="156" spans="1:27">
      <c r="A156">
        <v>3</v>
      </c>
      <c r="B156" t="s">
        <v>328</v>
      </c>
      <c r="C156" s="2">
        <v>1375352</v>
      </c>
      <c r="F156" s="2" t="s">
        <v>284</v>
      </c>
      <c r="G156" s="2">
        <v>106537</v>
      </c>
      <c r="M156" s="8"/>
      <c r="N156" s="14"/>
      <c r="O156" s="33"/>
    </row>
    <row r="157" spans="1:27">
      <c r="A157">
        <v>4</v>
      </c>
      <c r="B157" t="s">
        <v>330</v>
      </c>
      <c r="C157" s="2">
        <v>1368041</v>
      </c>
      <c r="F157" s="2" t="s">
        <v>282</v>
      </c>
      <c r="G157" s="2">
        <v>63060</v>
      </c>
      <c r="M157" s="8"/>
      <c r="N157" s="14"/>
      <c r="O157" s="33"/>
    </row>
    <row r="158" spans="1:27">
      <c r="A158">
        <v>5</v>
      </c>
      <c r="B158" t="s">
        <v>332</v>
      </c>
      <c r="C158" s="2">
        <v>1275427</v>
      </c>
      <c r="F158" s="2" t="s">
        <v>252</v>
      </c>
      <c r="G158" s="2">
        <v>60587</v>
      </c>
      <c r="M158" s="8"/>
      <c r="N158" s="14"/>
      <c r="O158" s="33"/>
    </row>
    <row r="159" spans="1:27">
      <c r="A159">
        <v>6</v>
      </c>
      <c r="B159" t="s">
        <v>334</v>
      </c>
      <c r="C159" s="2">
        <v>992872</v>
      </c>
      <c r="F159" s="47" t="s">
        <v>286</v>
      </c>
      <c r="G159" s="2">
        <v>37479</v>
      </c>
      <c r="M159" s="8"/>
      <c r="N159" s="14"/>
      <c r="O159" s="33"/>
    </row>
    <row r="160" spans="1:27">
      <c r="A160">
        <v>7</v>
      </c>
      <c r="B160" t="s">
        <v>505</v>
      </c>
      <c r="C160" s="2">
        <v>775592</v>
      </c>
      <c r="F160" s="2" t="s">
        <v>256</v>
      </c>
      <c r="G160" s="2">
        <v>19914</v>
      </c>
      <c r="M160" s="8"/>
      <c r="N160" s="14"/>
      <c r="O160" s="33"/>
    </row>
    <row r="161" spans="1:27">
      <c r="A161">
        <v>8</v>
      </c>
      <c r="B161" t="s">
        <v>331</v>
      </c>
      <c r="C161" s="2">
        <v>724039</v>
      </c>
      <c r="F161" s="2" t="s">
        <v>269</v>
      </c>
      <c r="G161" s="2">
        <v>19796</v>
      </c>
      <c r="M161" s="8"/>
      <c r="N161" s="14"/>
      <c r="O161" s="33"/>
    </row>
    <row r="162" spans="1:27">
      <c r="A162">
        <v>9</v>
      </c>
      <c r="B162" t="s">
        <v>327</v>
      </c>
      <c r="C162" s="2">
        <v>689954</v>
      </c>
      <c r="F162" s="2" t="s">
        <v>280</v>
      </c>
      <c r="G162" s="2">
        <v>19297</v>
      </c>
      <c r="M162" s="8"/>
      <c r="N162" s="14"/>
      <c r="O162" s="33"/>
    </row>
    <row r="163" spans="1:27">
      <c r="A163">
        <v>10</v>
      </c>
      <c r="B163" t="s">
        <v>506</v>
      </c>
      <c r="C163" s="2">
        <v>559898</v>
      </c>
      <c r="M163" s="8"/>
      <c r="N163" s="14"/>
      <c r="O163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63"/>
  <sheetViews>
    <sheetView workbookViewId="0"/>
  </sheetViews>
  <sheetFormatPr defaultRowHeight="15"/>
  <cols>
    <col min="1" max="1" width="49.7109375" customWidth="1"/>
    <col min="2" max="2" width="14.42578125" customWidth="1"/>
    <col min="6" max="6" width="28.85546875" customWidth="1"/>
    <col min="15" max="15" width="48.5703125" customWidth="1"/>
    <col min="17" max="17" width="23.5703125" customWidth="1"/>
    <col min="21" max="21" width="15" customWidth="1"/>
  </cols>
  <sheetData>
    <row r="1" spans="1:30" ht="29.333333333333332" customHeight="1">
      <c r="A1" s="1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11</v>
      </c>
      <c r="M1" s="8" t="s">
        <v>12</v>
      </c>
      <c r="N1" s="5">
        <v>2026</v>
      </c>
      <c r="O1" s="32" t="s">
        <v>0</v>
      </c>
      <c r="P1" s="7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4" t="s">
        <v>12</v>
      </c>
      <c r="AB1" s="3"/>
      <c r="AC1" s="3"/>
      <c r="AD1" s="3"/>
    </row>
    <row r="2" spans="1:30">
      <c r="A2" s="8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M2" s="8"/>
      <c r="N2" s="10"/>
      <c r="O2" s="33" t="s">
        <v>13</v>
      </c>
    </row>
    <row r="3" spans="1:30">
      <c r="A3" s="1" t="s">
        <v>14</v>
      </c>
      <c r="B3" s="7"/>
      <c r="C3" s="3"/>
      <c r="D3" s="3"/>
      <c r="E3" s="3"/>
      <c r="F3" s="3"/>
      <c r="G3" s="3"/>
      <c r="H3" s="3"/>
      <c r="I3" s="3"/>
      <c r="J3" s="3"/>
      <c r="K3" s="48">
        <v>8.2705</v>
      </c>
      <c r="L3" s="49">
        <v>8.4957</v>
      </c>
      <c r="M3" s="50">
        <v>7.8603</v>
      </c>
      <c r="N3" s="10"/>
      <c r="O3" s="32" t="s">
        <v>14</v>
      </c>
      <c r="P3" s="49">
        <v>8.1616</v>
      </c>
      <c r="Q3" s="51">
        <v>8.1656</v>
      </c>
    </row>
    <row r="4" spans="1:30">
      <c r="A4" s="1" t="s">
        <v>16</v>
      </c>
      <c r="B4" s="7">
        <v>4.0656</v>
      </c>
      <c r="C4" s="48">
        <v>4.0873</v>
      </c>
      <c r="D4" s="48">
        <v>3.8186</v>
      </c>
      <c r="E4" s="48">
        <v>3.9595</v>
      </c>
      <c r="F4" s="48">
        <v>4.399</v>
      </c>
      <c r="G4" s="48">
        <v>4.4372</v>
      </c>
      <c r="H4" s="48">
        <v>4.5805</v>
      </c>
      <c r="I4" s="48">
        <v>4.7152</v>
      </c>
      <c r="J4" s="48">
        <v>4.0891</v>
      </c>
      <c r="K4" s="48">
        <v>3.9626</v>
      </c>
      <c r="L4" s="49">
        <v>4.1555</v>
      </c>
      <c r="M4" s="50">
        <v>4.5166</v>
      </c>
      <c r="N4" s="10"/>
      <c r="O4" s="32" t="s">
        <v>16</v>
      </c>
      <c r="P4" s="49">
        <v>4.0873</v>
      </c>
      <c r="Q4" s="49">
        <v>4.2916</v>
      </c>
    </row>
    <row r="5" spans="1:30">
      <c r="A5" s="1" t="s">
        <v>17</v>
      </c>
      <c r="B5" s="7">
        <v>2.57</v>
      </c>
      <c r="C5" s="48">
        <v>2.72</v>
      </c>
      <c r="D5" s="48">
        <v>2.92</v>
      </c>
      <c r="E5" s="48">
        <v>3.02</v>
      </c>
      <c r="F5" s="48">
        <v>3.04</v>
      </c>
      <c r="G5" s="48">
        <v>3.17</v>
      </c>
      <c r="H5" s="48">
        <v>3.32</v>
      </c>
      <c r="I5" s="48">
        <v>3.29</v>
      </c>
      <c r="J5" s="48">
        <v>3.28</v>
      </c>
      <c r="K5" s="48">
        <v>3.23</v>
      </c>
      <c r="L5" s="49">
        <v>3.23</v>
      </c>
      <c r="M5" s="50">
        <v>3.08</v>
      </c>
      <c r="N5" s="10"/>
      <c r="O5" s="32" t="s">
        <v>17</v>
      </c>
      <c r="P5" s="49">
        <v>3.18</v>
      </c>
      <c r="Q5" s="3" t="s">
        <v>507</v>
      </c>
    </row>
    <row r="6" spans="1:30">
      <c r="A6" s="1" t="s">
        <v>18</v>
      </c>
      <c r="B6" s="7">
        <v>2.736</v>
      </c>
      <c r="C6" s="48">
        <v>2.8645</v>
      </c>
      <c r="D6" s="48">
        <v>2.9625</v>
      </c>
      <c r="E6" s="48">
        <v>2.8767</v>
      </c>
      <c r="F6" s="48">
        <v>3.0214</v>
      </c>
      <c r="G6" s="48">
        <v>3.1436</v>
      </c>
      <c r="H6" s="48">
        <v>3.1895</v>
      </c>
      <c r="I6" s="48">
        <v>3.3846</v>
      </c>
      <c r="J6" s="48">
        <v>3.4927</v>
      </c>
      <c r="K6" s="48">
        <v>3.3844</v>
      </c>
      <c r="L6" s="49">
        <v>3.4007</v>
      </c>
      <c r="M6" s="50">
        <v>3.4785</v>
      </c>
      <c r="N6" s="14"/>
      <c r="O6" s="32" t="s">
        <v>18</v>
      </c>
      <c r="P6" s="49">
        <v>2.9284</v>
      </c>
      <c r="Q6" s="49">
        <v>2.9621</v>
      </c>
    </row>
    <row r="7" spans="1:30">
      <c r="A7" s="1" t="s">
        <v>19</v>
      </c>
      <c r="B7" s="7">
        <v>2.6107</v>
      </c>
      <c r="C7" s="48">
        <v>2.6197</v>
      </c>
      <c r="D7" s="48">
        <v>2.6111</v>
      </c>
      <c r="E7" s="48">
        <v>2.558</v>
      </c>
      <c r="F7" s="48">
        <v>2.5059</v>
      </c>
      <c r="G7" s="48">
        <v>2.5013</v>
      </c>
      <c r="H7" s="48">
        <v>2.5415</v>
      </c>
      <c r="I7" s="48">
        <v>2.5102</v>
      </c>
      <c r="J7" s="48">
        <v>2.5161</v>
      </c>
      <c r="K7" s="48">
        <v>2.5476</v>
      </c>
      <c r="L7" s="49">
        <v>2.5555</v>
      </c>
      <c r="M7" s="50">
        <v>2.2244</v>
      </c>
      <c r="N7" s="14"/>
      <c r="O7" s="32" t="s">
        <v>19</v>
      </c>
      <c r="P7" s="49">
        <v>2.1663</v>
      </c>
      <c r="Q7" s="49">
        <v>2.2208</v>
      </c>
    </row>
    <row r="8" spans="1:30">
      <c r="A8" s="15" t="s">
        <v>20</v>
      </c>
      <c r="B8" s="28"/>
      <c r="C8" s="18"/>
      <c r="D8" s="18"/>
      <c r="E8" s="18"/>
      <c r="F8" s="18"/>
      <c r="G8" s="18"/>
      <c r="H8" s="18"/>
      <c r="I8" s="18"/>
      <c r="J8" s="18"/>
      <c r="K8" s="18"/>
      <c r="L8" s="17"/>
      <c r="M8" s="34"/>
      <c r="N8" s="14"/>
      <c r="O8" s="35" t="s">
        <v>20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>
      <c r="A9" s="1" t="s">
        <v>22</v>
      </c>
      <c r="B9" s="7">
        <v>3.0943</v>
      </c>
      <c r="C9" s="48">
        <v>3.3242</v>
      </c>
      <c r="D9" s="48">
        <v>3.3392</v>
      </c>
      <c r="E9" s="48">
        <v>3.3235</v>
      </c>
      <c r="F9" s="48">
        <v>2.251</v>
      </c>
      <c r="G9" s="48">
        <v>2.2133</v>
      </c>
      <c r="H9" s="48">
        <v>2.2429</v>
      </c>
      <c r="I9" s="48">
        <v>2.4689</v>
      </c>
      <c r="J9" s="48">
        <v>2.0222</v>
      </c>
      <c r="K9" s="48">
        <v>2.3996</v>
      </c>
      <c r="L9" s="49">
        <v>3.1391</v>
      </c>
      <c r="M9" s="50">
        <v>3.2149</v>
      </c>
      <c r="N9" s="14"/>
      <c r="O9" s="32" t="s">
        <v>22</v>
      </c>
      <c r="P9" s="49">
        <v>3.3702</v>
      </c>
      <c r="Q9" s="49">
        <v>2.4367</v>
      </c>
    </row>
    <row r="10" spans="1:30">
      <c r="A10" s="1" t="s">
        <v>23</v>
      </c>
      <c r="B10" s="7">
        <v>3.5317</v>
      </c>
      <c r="C10" s="48">
        <v>3.6032</v>
      </c>
      <c r="D10" s="48">
        <v>3.6115</v>
      </c>
      <c r="E10" s="48">
        <v>3.4551</v>
      </c>
      <c r="F10" s="48">
        <v>4.398</v>
      </c>
      <c r="G10" s="48">
        <v>4.4469</v>
      </c>
      <c r="H10" s="48">
        <v>4.218</v>
      </c>
      <c r="I10" s="48">
        <v>4.4486</v>
      </c>
      <c r="J10" s="48">
        <v>4.5811</v>
      </c>
      <c r="K10" s="48">
        <v>4.7581</v>
      </c>
      <c r="L10" s="49">
        <v>4.7611</v>
      </c>
      <c r="M10" s="50">
        <v>4.8765</v>
      </c>
      <c r="N10" s="14"/>
      <c r="O10" s="32" t="s">
        <v>23</v>
      </c>
      <c r="P10" s="49">
        <v>4.7244</v>
      </c>
      <c r="Q10" s="49">
        <v>4.8277</v>
      </c>
    </row>
    <row r="11" spans="1:30">
      <c r="A11" s="1" t="s">
        <v>24</v>
      </c>
      <c r="B11" s="7">
        <v>1.3765</v>
      </c>
      <c r="C11" s="48">
        <v>1.4158</v>
      </c>
      <c r="D11" s="48">
        <v>1.4794</v>
      </c>
      <c r="E11" s="48">
        <v>1.499</v>
      </c>
      <c r="F11" s="48">
        <v>1.5014</v>
      </c>
      <c r="G11" s="48">
        <v>1.6229</v>
      </c>
      <c r="H11" s="48">
        <v>1.5878</v>
      </c>
      <c r="I11" s="48">
        <v>1.6379</v>
      </c>
      <c r="J11" s="48">
        <v>1.6273</v>
      </c>
      <c r="K11" s="48">
        <v>1.6359</v>
      </c>
      <c r="L11" s="49">
        <v>1.6389</v>
      </c>
      <c r="M11" s="50">
        <v>1.7669</v>
      </c>
      <c r="N11" s="14"/>
      <c r="O11" s="32" t="s">
        <v>24</v>
      </c>
      <c r="P11" s="49">
        <v>1.723</v>
      </c>
    </row>
    <row r="12" spans="1:30">
      <c r="A12" s="1" t="s">
        <v>25</v>
      </c>
      <c r="B12" s="7">
        <v>2.5858</v>
      </c>
      <c r="C12" s="48">
        <v>2.2776</v>
      </c>
      <c r="D12" s="48">
        <v>2.2976</v>
      </c>
      <c r="E12" s="48">
        <v>2.3127</v>
      </c>
      <c r="F12" s="48">
        <v>2.1654</v>
      </c>
      <c r="G12" s="48">
        <v>2.1705</v>
      </c>
      <c r="H12" s="48">
        <v>2.2112</v>
      </c>
      <c r="I12" s="48">
        <v>2.2252</v>
      </c>
      <c r="J12" s="48">
        <v>2.1461</v>
      </c>
      <c r="K12" s="48">
        <v>2.1013</v>
      </c>
      <c r="L12" s="49">
        <v>2.0598</v>
      </c>
      <c r="M12" s="50">
        <v>1.7709</v>
      </c>
      <c r="N12" s="14"/>
      <c r="O12" s="32" t="s">
        <v>25</v>
      </c>
    </row>
    <row r="13" spans="1:30">
      <c r="A13" s="1" t="s">
        <v>27</v>
      </c>
      <c r="B13" s="7">
        <v>3.1507</v>
      </c>
      <c r="C13" s="48">
        <v>3.2473</v>
      </c>
      <c r="D13" s="48">
        <v>3.3407</v>
      </c>
      <c r="E13" s="48">
        <v>3.3554</v>
      </c>
      <c r="F13" s="48">
        <v>3.5537</v>
      </c>
      <c r="G13" s="48">
        <v>3.489</v>
      </c>
      <c r="H13" s="48">
        <v>3.4088</v>
      </c>
      <c r="I13" s="48">
        <v>3.8879</v>
      </c>
      <c r="J13" s="48">
        <v>3.6982</v>
      </c>
      <c r="K13" s="48">
        <v>3.7933</v>
      </c>
      <c r="L13" s="49">
        <v>3.9772</v>
      </c>
      <c r="M13" s="50">
        <v>3.7175</v>
      </c>
      <c r="N13" s="14"/>
      <c r="O13" s="32" t="s">
        <v>27</v>
      </c>
      <c r="P13" s="49">
        <v>3.629</v>
      </c>
      <c r="Q13" s="49">
        <v>3.3028</v>
      </c>
    </row>
    <row r="14" spans="1:30">
      <c r="A14" s="1" t="s">
        <v>28</v>
      </c>
      <c r="B14" s="7">
        <v>5.36</v>
      </c>
      <c r="C14" s="48">
        <v>5.05</v>
      </c>
      <c r="D14" s="48">
        <v>4.91</v>
      </c>
      <c r="E14" s="48">
        <v>4.52</v>
      </c>
      <c r="F14" s="48">
        <v>4.54</v>
      </c>
      <c r="G14" s="48">
        <v>4.6</v>
      </c>
      <c r="H14" s="48">
        <v>5.11</v>
      </c>
      <c r="I14" s="48">
        <v>5.13</v>
      </c>
      <c r="J14" s="48">
        <v>4.61</v>
      </c>
      <c r="K14" s="48">
        <v>4.57</v>
      </c>
      <c r="L14" s="49">
        <v>4.8</v>
      </c>
      <c r="M14" s="50">
        <v>4.48</v>
      </c>
      <c r="N14" s="14"/>
      <c r="O14" s="32" t="s">
        <v>28</v>
      </c>
      <c r="P14" s="49">
        <v>4.81</v>
      </c>
      <c r="Q14" s="49">
        <v>4.9</v>
      </c>
      <c r="V14" s="49"/>
    </row>
    <row r="15" spans="1:30">
      <c r="A15" s="1" t="s">
        <v>29</v>
      </c>
      <c r="B15" s="7">
        <v>2.372</v>
      </c>
      <c r="C15" s="48">
        <v>2.3487</v>
      </c>
      <c r="D15" s="48">
        <v>2.0015</v>
      </c>
      <c r="E15" s="48">
        <v>2.2827</v>
      </c>
      <c r="F15" s="48">
        <v>2.2108</v>
      </c>
      <c r="G15" s="48">
        <v>2.2844</v>
      </c>
      <c r="H15" s="48">
        <v>2.3741</v>
      </c>
      <c r="I15" s="48">
        <v>2.3444</v>
      </c>
      <c r="J15" s="48">
        <v>2.4892</v>
      </c>
      <c r="K15" s="48">
        <v>2.4961</v>
      </c>
      <c r="L15" s="49">
        <v>2.5831</v>
      </c>
      <c r="M15" s="50">
        <v>2.7336</v>
      </c>
      <c r="N15" s="14"/>
      <c r="O15" s="32" t="s">
        <v>29</v>
      </c>
      <c r="P15" s="49">
        <v>2.6317</v>
      </c>
      <c r="Q15" s="49">
        <v>2.3952</v>
      </c>
    </row>
    <row r="16" spans="1:30">
      <c r="A16" s="1" t="s">
        <v>30</v>
      </c>
      <c r="B16" s="7">
        <v>4.5726</v>
      </c>
      <c r="C16" s="48">
        <v>4.6545</v>
      </c>
      <c r="D16" s="48">
        <v>4.3231</v>
      </c>
      <c r="E16" s="48">
        <v>4.2381</v>
      </c>
      <c r="F16" s="48">
        <v>4.1854</v>
      </c>
      <c r="G16" s="48">
        <v>4.3701</v>
      </c>
      <c r="H16" s="48">
        <v>4.0322</v>
      </c>
      <c r="I16" s="48">
        <v>4.3852</v>
      </c>
      <c r="J16" s="48">
        <v>4.3214</v>
      </c>
      <c r="K16" s="48">
        <v>4.348</v>
      </c>
      <c r="L16" s="49">
        <v>4.3341</v>
      </c>
      <c r="M16" s="50">
        <v>4.1109</v>
      </c>
      <c r="N16" s="14"/>
      <c r="O16" s="32" t="s">
        <v>30</v>
      </c>
      <c r="P16" s="49">
        <v>3.9544</v>
      </c>
      <c r="Q16" s="49">
        <v>4.0543</v>
      </c>
    </row>
    <row r="17" spans="1:30">
      <c r="A17" s="1" t="s">
        <v>31</v>
      </c>
      <c r="B17" s="7">
        <v>4.37</v>
      </c>
      <c r="C17" s="48">
        <v>4.55</v>
      </c>
      <c r="D17" s="48">
        <v>4.42</v>
      </c>
      <c r="E17" s="48">
        <v>4.34</v>
      </c>
      <c r="F17" s="48">
        <v>4.39</v>
      </c>
      <c r="G17" s="48">
        <v>4.64</v>
      </c>
      <c r="H17" s="48">
        <v>4.74</v>
      </c>
      <c r="I17" s="48">
        <v>5.14</v>
      </c>
      <c r="J17" s="48">
        <v>4.89</v>
      </c>
      <c r="K17" s="48">
        <v>4.77</v>
      </c>
      <c r="L17" s="49">
        <v>4.92</v>
      </c>
      <c r="M17" s="50">
        <v>4.74</v>
      </c>
      <c r="N17" s="14"/>
      <c r="O17" s="32" t="s">
        <v>31</v>
      </c>
      <c r="P17" s="49">
        <v>4.71</v>
      </c>
      <c r="Q17" s="49">
        <v>5.01</v>
      </c>
    </row>
    <row r="18" spans="1:30">
      <c r="A18" s="1" t="s">
        <v>32</v>
      </c>
      <c r="B18" s="7">
        <v>2.74</v>
      </c>
      <c r="C18" s="48">
        <v>1.48</v>
      </c>
      <c r="D18" s="48">
        <v>1.29</v>
      </c>
      <c r="E18" s="48">
        <v>1.33</v>
      </c>
      <c r="F18" s="48">
        <v>1.5</v>
      </c>
      <c r="G18" s="48">
        <v>1.66</v>
      </c>
      <c r="H18" s="48">
        <v>1.22</v>
      </c>
      <c r="I18" s="48">
        <v>1.33</v>
      </c>
      <c r="J18" s="48">
        <v>1.32</v>
      </c>
      <c r="K18" s="48">
        <v>1.39</v>
      </c>
      <c r="L18" s="49">
        <v>1.41</v>
      </c>
      <c r="M18" s="50">
        <v>1.45</v>
      </c>
      <c r="N18" s="14"/>
      <c r="O18" s="32" t="s">
        <v>32</v>
      </c>
      <c r="P18" s="49">
        <v>1.28</v>
      </c>
      <c r="Q18" s="49">
        <v>1.48</v>
      </c>
    </row>
    <row r="19" spans="1:30">
      <c r="A19" s="1" t="s">
        <v>33</v>
      </c>
      <c r="B19" s="7">
        <v>3.6111</v>
      </c>
      <c r="C19" s="48">
        <v>3.6324</v>
      </c>
      <c r="D19" s="48">
        <v>3.0114</v>
      </c>
      <c r="E19" s="48">
        <v>2.8003</v>
      </c>
      <c r="F19" s="48">
        <v>2.7398</v>
      </c>
      <c r="G19" s="48">
        <v>2.8624</v>
      </c>
      <c r="H19" s="48">
        <v>2.7843</v>
      </c>
      <c r="I19" s="48">
        <v>2.8268</v>
      </c>
      <c r="J19" s="48">
        <v>2.8689</v>
      </c>
      <c r="K19" s="48">
        <v>2.98</v>
      </c>
      <c r="L19" s="49">
        <v>2.9844</v>
      </c>
      <c r="M19" s="50">
        <v>2.929</v>
      </c>
      <c r="N19" s="14"/>
      <c r="O19" s="32" t="s">
        <v>33</v>
      </c>
      <c r="P19" s="49">
        <v>2.8705</v>
      </c>
      <c r="Q19" s="49">
        <v>2.9071</v>
      </c>
    </row>
    <row r="20" spans="1:30">
      <c r="A20" s="1" t="s">
        <v>40</v>
      </c>
      <c r="B20" s="7">
        <v>1.92</v>
      </c>
      <c r="C20" s="48">
        <v>1.93</v>
      </c>
      <c r="D20" s="48">
        <v>1.76</v>
      </c>
      <c r="E20" s="48">
        <v>1.66</v>
      </c>
      <c r="F20" s="48">
        <v>1.4</v>
      </c>
      <c r="G20" s="48">
        <v>1.38</v>
      </c>
      <c r="H20" s="48">
        <v>1.31</v>
      </c>
      <c r="I20" s="48">
        <v>1.33</v>
      </c>
      <c r="J20" s="48">
        <v>1.26</v>
      </c>
      <c r="K20" s="3">
        <v>0</v>
      </c>
      <c r="L20" s="49">
        <v>1.21</v>
      </c>
      <c r="M20" s="50">
        <v>1.21</v>
      </c>
      <c r="N20" s="14"/>
      <c r="O20" s="32" t="s">
        <v>40</v>
      </c>
    </row>
    <row r="21" spans="1:30">
      <c r="A21" s="1" t="s">
        <v>42</v>
      </c>
      <c r="B21" s="7">
        <v>2.73</v>
      </c>
      <c r="C21" s="48">
        <v>2.59</v>
      </c>
      <c r="D21" s="48">
        <v>2.79</v>
      </c>
      <c r="E21" s="48">
        <v>2.75</v>
      </c>
      <c r="F21" s="48">
        <v>2.88</v>
      </c>
      <c r="G21" s="48">
        <v>3.11</v>
      </c>
      <c r="H21" s="48">
        <v>3.34</v>
      </c>
      <c r="I21" s="48">
        <v>3.51</v>
      </c>
      <c r="J21" s="48">
        <v>4.03</v>
      </c>
      <c r="K21" s="48">
        <v>4.08</v>
      </c>
      <c r="L21" s="49">
        <v>4.08</v>
      </c>
      <c r="M21" s="50">
        <v>3.75</v>
      </c>
      <c r="N21" s="14"/>
      <c r="O21" s="32" t="s">
        <v>42</v>
      </c>
      <c r="P21" s="49">
        <v>3.97</v>
      </c>
      <c r="Q21" s="49">
        <v>3.99</v>
      </c>
    </row>
    <row r="22" spans="1:30">
      <c r="A22" s="1" t="s">
        <v>43</v>
      </c>
      <c r="B22" s="7">
        <v>2.52</v>
      </c>
      <c r="C22" s="48">
        <v>2.45</v>
      </c>
      <c r="D22" s="48">
        <v>2.51</v>
      </c>
      <c r="E22" s="48">
        <v>2.28</v>
      </c>
      <c r="F22" s="48">
        <v>2.66</v>
      </c>
      <c r="G22" s="48">
        <v>3.04</v>
      </c>
      <c r="H22" s="48">
        <v>3.12</v>
      </c>
      <c r="I22" s="48">
        <v>2.96</v>
      </c>
      <c r="J22" s="48">
        <v>2.68</v>
      </c>
      <c r="K22" s="48">
        <v>2.23</v>
      </c>
      <c r="L22" s="49">
        <v>2.43</v>
      </c>
      <c r="M22" s="50">
        <v>2.82</v>
      </c>
      <c r="N22" s="14"/>
      <c r="O22" s="32" t="s">
        <v>43</v>
      </c>
      <c r="P22" s="49">
        <v>3.1</v>
      </c>
      <c r="Q22" s="49">
        <v>3.01</v>
      </c>
    </row>
    <row r="23" spans="1:30">
      <c r="A23" s="1" t="s">
        <v>44</v>
      </c>
      <c r="B23" s="7">
        <v>1.85</v>
      </c>
      <c r="C23" s="48">
        <v>1.85</v>
      </c>
      <c r="D23" s="48">
        <v>1.84</v>
      </c>
      <c r="E23" s="48">
        <v>1.84</v>
      </c>
      <c r="F23" s="48">
        <v>1.87</v>
      </c>
      <c r="G23" s="48">
        <v>1.89</v>
      </c>
      <c r="H23" s="48">
        <v>1.88</v>
      </c>
      <c r="I23" s="48">
        <v>1.84</v>
      </c>
      <c r="J23" s="48">
        <v>1.9</v>
      </c>
      <c r="K23" s="48">
        <v>1.94</v>
      </c>
      <c r="L23" s="49">
        <v>2.03</v>
      </c>
      <c r="M23" s="1">
        <v>1.81</v>
      </c>
      <c r="N23" s="14"/>
      <c r="O23" s="32" t="s">
        <v>44</v>
      </c>
      <c r="P23" s="49">
        <v>1.54</v>
      </c>
      <c r="Q23" s="49">
        <v>1.25</v>
      </c>
    </row>
    <row r="24" spans="1:30">
      <c r="A24" s="1" t="s">
        <v>45</v>
      </c>
      <c r="B24" s="7">
        <v>3.4545</v>
      </c>
      <c r="C24" s="48">
        <v>3.0095</v>
      </c>
      <c r="D24" s="48">
        <v>3.3151</v>
      </c>
      <c r="E24" s="48">
        <v>2.8739</v>
      </c>
      <c r="F24" s="48">
        <v>2.9124</v>
      </c>
      <c r="G24" s="48">
        <v>3.1532</v>
      </c>
      <c r="H24" s="48">
        <v>3.1897</v>
      </c>
      <c r="I24" s="48">
        <v>3.0327</v>
      </c>
      <c r="J24" s="48">
        <v>3.206</v>
      </c>
      <c r="K24" s="48">
        <v>3.2748</v>
      </c>
      <c r="L24" s="3" t="s">
        <v>508</v>
      </c>
      <c r="M24" s="50">
        <v>3.706</v>
      </c>
      <c r="N24" s="14"/>
      <c r="O24" s="32" t="s">
        <v>45</v>
      </c>
      <c r="P24" s="49">
        <v>3.4504</v>
      </c>
    </row>
    <row r="25" spans="1:30">
      <c r="A25" s="1" t="s">
        <v>51</v>
      </c>
      <c r="B25" s="7">
        <v>6.3617</v>
      </c>
      <c r="C25" s="48">
        <v>6.0338</v>
      </c>
      <c r="D25" s="48">
        <v>6.131</v>
      </c>
      <c r="E25" s="48">
        <v>4.7135</v>
      </c>
      <c r="F25" s="48">
        <v>4.7489</v>
      </c>
      <c r="G25" s="48">
        <v>5.2399</v>
      </c>
      <c r="H25" s="48">
        <v>5.3359</v>
      </c>
      <c r="I25" s="48">
        <v>5.4284</v>
      </c>
      <c r="J25" s="48">
        <v>5.2834</v>
      </c>
      <c r="K25" s="48">
        <v>5.8628</v>
      </c>
      <c r="L25" s="49">
        <v>5.98</v>
      </c>
      <c r="M25" s="50">
        <v>5.9134</v>
      </c>
      <c r="N25" s="14"/>
      <c r="O25" s="32" t="s">
        <v>51</v>
      </c>
      <c r="P25" s="49">
        <v>5.4511</v>
      </c>
      <c r="Q25" s="51">
        <v>5.5467</v>
      </c>
    </row>
    <row r="26" spans="1:30">
      <c r="A26" s="1" t="s">
        <v>52</v>
      </c>
      <c r="B26" s="7">
        <v>4.7826</v>
      </c>
      <c r="C26" s="48">
        <v>4.7115</v>
      </c>
      <c r="D26" s="48">
        <v>4.9978</v>
      </c>
      <c r="E26" s="48">
        <v>5.1808</v>
      </c>
      <c r="F26" s="48">
        <v>3.6565</v>
      </c>
      <c r="G26" s="48">
        <v>3.6546</v>
      </c>
      <c r="H26" s="48">
        <v>3.8712</v>
      </c>
      <c r="I26" s="48">
        <v>3.7229</v>
      </c>
      <c r="J26" s="48">
        <v>3.7361</v>
      </c>
      <c r="K26" s="48">
        <v>3.7317</v>
      </c>
      <c r="L26" s="49">
        <v>3.8698</v>
      </c>
      <c r="M26" s="50">
        <v>3.7742</v>
      </c>
      <c r="N26" s="14"/>
      <c r="O26" s="32" t="s">
        <v>52</v>
      </c>
      <c r="P26" s="49">
        <v>3.8027</v>
      </c>
      <c r="Q26" s="49">
        <v>3.7067</v>
      </c>
    </row>
    <row r="27" spans="1:30">
      <c r="A27" s="15" t="s">
        <v>53</v>
      </c>
      <c r="B27" s="28"/>
      <c r="C27" s="18"/>
      <c r="D27" s="18"/>
      <c r="E27" s="18"/>
      <c r="F27" s="18"/>
      <c r="G27" s="18"/>
      <c r="H27" s="18"/>
      <c r="I27" s="18"/>
      <c r="J27" s="18"/>
      <c r="K27" s="18"/>
      <c r="L27" s="52"/>
      <c r="M27" s="34"/>
      <c r="N27" s="14"/>
      <c r="O27" s="35" t="s">
        <v>53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>
      <c r="A28" s="1" t="s">
        <v>55</v>
      </c>
      <c r="B28" s="7">
        <v>1.3633</v>
      </c>
      <c r="C28" s="48">
        <v>1.5405</v>
      </c>
      <c r="D28" s="48">
        <v>1.5492</v>
      </c>
      <c r="E28" s="48">
        <v>1.4116</v>
      </c>
      <c r="F28" s="48">
        <v>1.4091</v>
      </c>
      <c r="G28" s="48">
        <v>1.4866</v>
      </c>
      <c r="H28" s="48">
        <v>1.5478</v>
      </c>
      <c r="I28" s="48">
        <v>1.6258</v>
      </c>
      <c r="J28" s="48">
        <v>1.7349</v>
      </c>
      <c r="K28" s="48">
        <v>1.6597</v>
      </c>
      <c r="L28" s="49">
        <v>1.5747</v>
      </c>
      <c r="M28" s="50">
        <v>1.5922</v>
      </c>
      <c r="N28" s="14"/>
      <c r="O28" s="32" t="s">
        <v>55</v>
      </c>
      <c r="P28" s="49">
        <v>1.5437</v>
      </c>
      <c r="Q28" s="49">
        <v>1.5612</v>
      </c>
    </row>
    <row r="29" spans="1:30">
      <c r="A29" s="1" t="s">
        <v>65</v>
      </c>
      <c r="B29" s="7">
        <v>2.3425</v>
      </c>
      <c r="C29" s="48">
        <v>2.7645</v>
      </c>
      <c r="D29" s="48">
        <v>2.5138</v>
      </c>
      <c r="E29" s="48">
        <v>2.4467</v>
      </c>
      <c r="F29" s="48">
        <v>2.3796</v>
      </c>
      <c r="G29" s="48">
        <v>2.3334</v>
      </c>
      <c r="H29" s="48">
        <v>2.3195</v>
      </c>
      <c r="I29" s="48">
        <v>2.3517</v>
      </c>
      <c r="J29" s="48">
        <v>2.4187</v>
      </c>
      <c r="K29" s="48">
        <v>2.3567</v>
      </c>
      <c r="L29" s="49">
        <v>2.5476</v>
      </c>
      <c r="M29" s="4" t="s">
        <v>509</v>
      </c>
      <c r="N29" s="14"/>
      <c r="O29" s="32" t="s">
        <v>65</v>
      </c>
      <c r="P29" s="49">
        <v>2.3525</v>
      </c>
      <c r="Q29" s="49">
        <v>2.3529</v>
      </c>
    </row>
    <row r="30" spans="1:30">
      <c r="A30" s="1" t="s">
        <v>66</v>
      </c>
      <c r="B30" s="7">
        <v>322.73</v>
      </c>
      <c r="C30" s="48">
        <v>3.6097</v>
      </c>
      <c r="D30" s="48">
        <v>3.8441</v>
      </c>
      <c r="E30" s="48">
        <v>4.0932</v>
      </c>
      <c r="F30" s="48">
        <v>4.2625</v>
      </c>
      <c r="G30" s="48">
        <v>4.4717</v>
      </c>
      <c r="H30" s="48">
        <v>4.4642</v>
      </c>
      <c r="I30" s="48">
        <v>4.5642</v>
      </c>
      <c r="J30" s="48">
        <v>4.5991</v>
      </c>
      <c r="K30" s="48">
        <v>4.6299</v>
      </c>
      <c r="L30" s="49">
        <v>4.1466</v>
      </c>
      <c r="M30" s="50">
        <v>4.1017</v>
      </c>
      <c r="N30" s="14"/>
      <c r="O30" s="32" t="s">
        <v>66</v>
      </c>
      <c r="P30" s="49">
        <v>4.4246</v>
      </c>
      <c r="Q30" s="49">
        <v>4.2513</v>
      </c>
    </row>
    <row r="31" spans="1:30">
      <c r="A31" s="1" t="s">
        <v>67</v>
      </c>
      <c r="B31" s="7">
        <v>1.6747</v>
      </c>
      <c r="C31" s="48">
        <v>1.6368</v>
      </c>
      <c r="D31" s="48">
        <v>1.6485</v>
      </c>
      <c r="E31" s="48">
        <v>1.6686</v>
      </c>
      <c r="F31" s="48">
        <v>1.6216</v>
      </c>
      <c r="G31" s="48">
        <v>1.6144</v>
      </c>
      <c r="H31" s="48">
        <v>1.6181</v>
      </c>
      <c r="I31" s="48">
        <v>1.6263</v>
      </c>
      <c r="J31" s="48">
        <v>1.6274</v>
      </c>
      <c r="K31" s="48">
        <v>1.6389</v>
      </c>
      <c r="L31" s="49">
        <v>1.7092</v>
      </c>
      <c r="M31" s="50">
        <v>1.7132</v>
      </c>
      <c r="N31" s="14"/>
      <c r="O31" s="32" t="s">
        <v>67</v>
      </c>
      <c r="P31" s="49">
        <v>1.6199</v>
      </c>
      <c r="Q31" s="49">
        <v>1.6026</v>
      </c>
    </row>
    <row r="32" spans="1:30">
      <c r="A32" s="1" t="s">
        <v>68</v>
      </c>
      <c r="B32" s="7">
        <v>1.4183</v>
      </c>
      <c r="C32" s="48">
        <v>1.4878</v>
      </c>
      <c r="D32" s="48">
        <v>1.437</v>
      </c>
      <c r="E32" s="48">
        <v>1.5282</v>
      </c>
      <c r="F32" s="48">
        <v>1.5169</v>
      </c>
      <c r="G32" s="48">
        <v>1.4193</v>
      </c>
      <c r="H32" s="48">
        <v>1.3495</v>
      </c>
      <c r="I32" s="48">
        <v>1.3294</v>
      </c>
      <c r="J32" s="48">
        <v>1.3497</v>
      </c>
      <c r="K32" s="48">
        <v>1.3332</v>
      </c>
      <c r="L32" s="49">
        <v>1.3091</v>
      </c>
      <c r="M32" s="50">
        <v>1.4755</v>
      </c>
      <c r="N32" s="14"/>
      <c r="O32" s="32" t="s">
        <v>68</v>
      </c>
      <c r="P32" s="49">
        <v>1.3008</v>
      </c>
      <c r="Q32" s="49">
        <v>1.3028</v>
      </c>
    </row>
    <row r="33" spans="1:30">
      <c r="A33" s="1" t="s">
        <v>69</v>
      </c>
      <c r="B33" s="7">
        <v>3.5131</v>
      </c>
      <c r="C33" s="48">
        <v>3.5867</v>
      </c>
      <c r="D33" s="48">
        <v>3.4548</v>
      </c>
      <c r="E33" s="48">
        <v>3.6321</v>
      </c>
      <c r="F33" s="48">
        <v>3.3656</v>
      </c>
      <c r="G33" s="48">
        <v>3.4226</v>
      </c>
      <c r="H33" s="48">
        <v>3.6172</v>
      </c>
      <c r="I33" s="3" t="s">
        <v>510</v>
      </c>
      <c r="J33" s="48">
        <v>3.623</v>
      </c>
      <c r="K33" s="48">
        <v>3.7316</v>
      </c>
      <c r="L33" s="49">
        <v>3.809</v>
      </c>
      <c r="M33" s="50">
        <v>3.7612</v>
      </c>
      <c r="N33" s="14"/>
      <c r="O33" s="32" t="s">
        <v>69</v>
      </c>
      <c r="P33" s="49">
        <v>3.8968</v>
      </c>
      <c r="Q33" s="49">
        <v>3.9525</v>
      </c>
    </row>
    <row r="34" spans="1:30">
      <c r="A34" s="1" t="s">
        <v>70</v>
      </c>
      <c r="B34" s="7">
        <v>2.1274</v>
      </c>
      <c r="C34" s="48">
        <v>2.3862</v>
      </c>
      <c r="D34" s="48">
        <v>2.8918</v>
      </c>
      <c r="E34" s="48">
        <v>2.7365</v>
      </c>
      <c r="F34" s="48">
        <v>2.7546</v>
      </c>
      <c r="G34" s="48">
        <v>2.8896</v>
      </c>
      <c r="H34" s="48">
        <v>2.7838</v>
      </c>
      <c r="I34" s="48">
        <v>2.784</v>
      </c>
      <c r="J34" s="48">
        <v>2.7355</v>
      </c>
      <c r="K34" s="48">
        <v>2.6906</v>
      </c>
      <c r="L34" s="49">
        <v>2.6461</v>
      </c>
      <c r="M34" s="50">
        <v>2.5189</v>
      </c>
      <c r="N34" s="14"/>
      <c r="O34" s="32" t="s">
        <v>70</v>
      </c>
      <c r="P34" s="49">
        <v>2.4032</v>
      </c>
      <c r="Q34" s="49">
        <v>2.1929</v>
      </c>
    </row>
    <row r="35" spans="1:30">
      <c r="A35" s="1" t="s">
        <v>71</v>
      </c>
      <c r="B35" s="7">
        <v>1.59</v>
      </c>
      <c r="C35" s="48">
        <v>1.3053</v>
      </c>
      <c r="D35" s="48">
        <v>1.2262</v>
      </c>
      <c r="E35" s="48">
        <v>1.2486</v>
      </c>
      <c r="F35" s="48">
        <v>1.6943</v>
      </c>
      <c r="G35" s="48">
        <v>1.5659</v>
      </c>
      <c r="H35" s="48">
        <v>1.5675</v>
      </c>
      <c r="I35" s="48">
        <v>1.248</v>
      </c>
      <c r="J35" s="48">
        <v>1.2659</v>
      </c>
      <c r="K35" s="48">
        <v>1.4723</v>
      </c>
      <c r="L35" s="49">
        <v>1.923</v>
      </c>
      <c r="M35" s="50">
        <v>1.8391</v>
      </c>
      <c r="N35" s="14"/>
      <c r="O35" s="32" t="s">
        <v>71</v>
      </c>
      <c r="P35" s="49">
        <v>1.5423</v>
      </c>
      <c r="Q35" s="49">
        <v>1.482</v>
      </c>
    </row>
    <row r="36" spans="1:30">
      <c r="A36" s="1" t="s">
        <v>72</v>
      </c>
      <c r="B36" s="7">
        <v>12.32</v>
      </c>
      <c r="C36" s="48">
        <v>9.83</v>
      </c>
      <c r="D36" s="48">
        <v>11.08</v>
      </c>
      <c r="E36" s="48">
        <v>11.3</v>
      </c>
      <c r="F36" s="48">
        <v>11.67</v>
      </c>
      <c r="G36" s="48">
        <v>11.43</v>
      </c>
      <c r="H36" s="48">
        <v>10.32</v>
      </c>
      <c r="I36" s="48">
        <v>11.37</v>
      </c>
      <c r="J36" s="48">
        <v>10.13</v>
      </c>
      <c r="K36" s="48">
        <v>12.66</v>
      </c>
      <c r="L36" s="49">
        <v>9.58</v>
      </c>
      <c r="M36" s="50">
        <v>10.36</v>
      </c>
      <c r="N36" s="14"/>
      <c r="O36" s="32" t="s">
        <v>72</v>
      </c>
      <c r="P36" s="49">
        <v>7.73</v>
      </c>
      <c r="Q36" s="51">
        <v>8.77</v>
      </c>
    </row>
    <row r="37" spans="1:30">
      <c r="A37" s="1" t="s">
        <v>73</v>
      </c>
      <c r="B37" s="7">
        <v>3.3054</v>
      </c>
      <c r="C37" s="48">
        <v>3.4078</v>
      </c>
      <c r="D37" s="48">
        <v>3.4763</v>
      </c>
      <c r="E37" s="48">
        <v>3.5192</v>
      </c>
      <c r="F37" s="48">
        <v>3.6021</v>
      </c>
      <c r="G37" s="48">
        <v>3.7606</v>
      </c>
      <c r="H37" s="48">
        <v>3.7535</v>
      </c>
      <c r="I37" s="48">
        <v>3.7957</v>
      </c>
      <c r="J37" s="48">
        <v>3.83</v>
      </c>
      <c r="K37" s="48">
        <v>3.9742</v>
      </c>
      <c r="L37" s="49">
        <v>3.93</v>
      </c>
      <c r="M37" s="50">
        <v>4.0003</v>
      </c>
      <c r="N37" s="14"/>
      <c r="O37" s="32" t="s">
        <v>73</v>
      </c>
      <c r="P37" s="49">
        <v>3.8487</v>
      </c>
      <c r="Q37" s="49">
        <v>4.4898</v>
      </c>
    </row>
    <row r="38" spans="1:30">
      <c r="A38" s="1" t="s">
        <v>82</v>
      </c>
      <c r="B38" s="7">
        <v>5.6755</v>
      </c>
      <c r="C38" s="48">
        <v>5.9528</v>
      </c>
      <c r="D38" s="48">
        <v>5.9664</v>
      </c>
      <c r="E38" s="48">
        <v>6.4484</v>
      </c>
      <c r="F38" s="48">
        <v>6.7557</v>
      </c>
      <c r="G38" s="48">
        <v>6.4134</v>
      </c>
      <c r="H38" s="48">
        <v>6.8542</v>
      </c>
      <c r="I38" s="48">
        <v>6.4937</v>
      </c>
      <c r="J38" s="48">
        <v>7.4226</v>
      </c>
      <c r="K38" s="3" t="s">
        <v>511</v>
      </c>
      <c r="L38" s="49">
        <v>7.62</v>
      </c>
      <c r="M38" s="50">
        <v>7.53</v>
      </c>
      <c r="N38" s="14"/>
      <c r="O38" s="32" t="s">
        <v>82</v>
      </c>
      <c r="P38" s="49">
        <v>8.03</v>
      </c>
      <c r="Q38" s="51">
        <v>7.99</v>
      </c>
    </row>
    <row r="39" spans="1:30">
      <c r="A39" s="1" t="s">
        <v>83</v>
      </c>
      <c r="B39" s="7">
        <v>5.7345</v>
      </c>
      <c r="C39" s="48">
        <v>5.8557</v>
      </c>
      <c r="D39" s="48">
        <v>7.3544</v>
      </c>
      <c r="E39" s="48">
        <v>6.5741</v>
      </c>
      <c r="F39" s="48">
        <v>7.2163</v>
      </c>
      <c r="G39" s="48">
        <v>6.6414</v>
      </c>
      <c r="H39" s="48">
        <v>5.9739</v>
      </c>
      <c r="I39" s="48">
        <v>5.0256</v>
      </c>
      <c r="J39" s="48">
        <v>5.1206</v>
      </c>
      <c r="K39" s="48">
        <v>4.0173</v>
      </c>
      <c r="L39" s="49">
        <v>3.7469</v>
      </c>
      <c r="M39" s="50">
        <v>7.9516</v>
      </c>
      <c r="N39" s="14"/>
      <c r="O39" s="32" t="s">
        <v>83</v>
      </c>
      <c r="P39" s="49">
        <v>7.2218</v>
      </c>
      <c r="Q39" s="49">
        <v>5.3437</v>
      </c>
    </row>
    <row r="40" spans="1:30">
      <c r="A40" s="1" t="s">
        <v>84</v>
      </c>
      <c r="B40" s="7">
        <v>1.5617</v>
      </c>
      <c r="C40" s="48">
        <v>1.5333</v>
      </c>
      <c r="D40" s="48">
        <v>1.4747</v>
      </c>
      <c r="E40" s="48">
        <v>1.3489</v>
      </c>
      <c r="F40" s="48">
        <v>1.3212</v>
      </c>
      <c r="G40" s="48">
        <v>1.3151</v>
      </c>
      <c r="H40" s="48">
        <v>1.4203</v>
      </c>
      <c r="I40" s="48">
        <v>1.4299</v>
      </c>
      <c r="J40" s="48">
        <v>1.3319</v>
      </c>
      <c r="K40" s="48">
        <v>1.3158</v>
      </c>
      <c r="L40" s="49">
        <v>1.3735</v>
      </c>
      <c r="M40" s="50">
        <v>1.3392</v>
      </c>
      <c r="N40" s="14"/>
      <c r="O40" s="32" t="s">
        <v>84</v>
      </c>
      <c r="P40" s="49">
        <v>1.3512</v>
      </c>
      <c r="Q40" s="49">
        <v>1.8266</v>
      </c>
    </row>
    <row r="41" spans="1:30">
      <c r="A41" s="1" t="s">
        <v>85</v>
      </c>
      <c r="B41" s="7">
        <v>1.65</v>
      </c>
      <c r="C41" s="48">
        <v>1.55</v>
      </c>
      <c r="D41" s="48">
        <v>1.61</v>
      </c>
      <c r="E41" s="48">
        <v>1.51</v>
      </c>
      <c r="F41" s="48">
        <v>1.52</v>
      </c>
      <c r="G41" s="48">
        <v>1.58</v>
      </c>
      <c r="H41" s="48">
        <v>1.61</v>
      </c>
      <c r="I41" s="48">
        <v>1.58</v>
      </c>
      <c r="J41" s="48">
        <v>1.88</v>
      </c>
      <c r="K41" s="48">
        <v>1.94</v>
      </c>
      <c r="L41" s="49">
        <v>1.63</v>
      </c>
      <c r="M41" s="50">
        <v>1.51</v>
      </c>
      <c r="N41" s="14"/>
      <c r="O41" s="32" t="s">
        <v>85</v>
      </c>
      <c r="Q41" s="49">
        <v>1.5179</v>
      </c>
    </row>
    <row r="42" spans="1:30">
      <c r="A42" s="1" t="s">
        <v>88</v>
      </c>
      <c r="B42" s="7">
        <v>6.87</v>
      </c>
      <c r="C42" s="48">
        <v>6.82</v>
      </c>
      <c r="D42" s="48">
        <v>6.63</v>
      </c>
      <c r="E42" s="48">
        <v>5.69</v>
      </c>
      <c r="F42" s="48">
        <v>4.79</v>
      </c>
      <c r="G42" s="48">
        <v>4.53</v>
      </c>
      <c r="H42" s="48">
        <v>4.64</v>
      </c>
      <c r="I42" s="48">
        <v>4.3</v>
      </c>
      <c r="J42" s="48">
        <v>4.04</v>
      </c>
      <c r="K42" s="48">
        <v>3.61</v>
      </c>
      <c r="L42" s="49">
        <v>3.21</v>
      </c>
      <c r="M42" s="50">
        <v>2.4</v>
      </c>
      <c r="N42" s="14"/>
      <c r="O42" s="32" t="s">
        <v>88</v>
      </c>
      <c r="P42" s="49">
        <v>2.24</v>
      </c>
      <c r="Q42" s="49">
        <v>2.0657</v>
      </c>
    </row>
    <row r="43" spans="1:30">
      <c r="A43" s="1" t="s">
        <v>89</v>
      </c>
      <c r="B43" s="7">
        <v>6.84</v>
      </c>
      <c r="C43" s="48">
        <v>7.35</v>
      </c>
      <c r="D43" s="48">
        <v>6.32</v>
      </c>
      <c r="E43" s="48">
        <v>7.26</v>
      </c>
      <c r="F43" s="48">
        <v>7.33</v>
      </c>
      <c r="G43" s="48">
        <v>13.56</v>
      </c>
      <c r="H43" s="48">
        <v>15.54</v>
      </c>
      <c r="I43" s="48">
        <v>11.31</v>
      </c>
      <c r="J43" s="48">
        <v>13.78</v>
      </c>
      <c r="K43" s="48">
        <v>15.13</v>
      </c>
      <c r="L43" s="49">
        <v>15.51</v>
      </c>
      <c r="M43" s="50">
        <v>16.91</v>
      </c>
      <c r="N43" s="14"/>
      <c r="O43" s="32" t="s">
        <v>89</v>
      </c>
      <c r="P43" s="49">
        <v>19.63</v>
      </c>
      <c r="Q43" s="51">
        <v>23.96</v>
      </c>
    </row>
    <row r="44" spans="1:30">
      <c r="A44" s="1" t="s">
        <v>90</v>
      </c>
      <c r="B44" s="7">
        <v>7.9217</v>
      </c>
      <c r="C44" s="48">
        <v>3.998</v>
      </c>
      <c r="D44" s="48">
        <v>3.1369</v>
      </c>
      <c r="E44" s="48">
        <v>1.8148</v>
      </c>
      <c r="F44" s="48">
        <v>3.3916</v>
      </c>
      <c r="G44" s="48">
        <v>3.0226</v>
      </c>
      <c r="H44" s="48">
        <v>2.619</v>
      </c>
      <c r="I44" s="48">
        <v>2.8765</v>
      </c>
      <c r="J44" s="48">
        <v>2.5279</v>
      </c>
      <c r="K44" s="3" t="s">
        <v>512</v>
      </c>
      <c r="L44" s="49">
        <v>1.4271</v>
      </c>
      <c r="M44" s="50">
        <v>1.4271</v>
      </c>
      <c r="N44" s="14"/>
      <c r="O44" s="32" t="s">
        <v>90</v>
      </c>
      <c r="P44" s="49">
        <v>1.2449</v>
      </c>
    </row>
    <row r="45" spans="1:30">
      <c r="A45" s="1" t="s">
        <v>91</v>
      </c>
      <c r="B45" s="7">
        <v>4.02</v>
      </c>
      <c r="C45" s="48">
        <v>3.94</v>
      </c>
      <c r="D45" s="48">
        <v>3.99</v>
      </c>
      <c r="E45" s="48">
        <v>3.89</v>
      </c>
      <c r="F45" s="48">
        <v>4.05</v>
      </c>
      <c r="G45" s="48">
        <v>4.09</v>
      </c>
      <c r="H45" s="48">
        <v>3.91</v>
      </c>
      <c r="I45" s="48">
        <v>3.72</v>
      </c>
      <c r="J45" s="48">
        <v>3.53</v>
      </c>
      <c r="K45" s="48">
        <v>3.61</v>
      </c>
      <c r="L45" s="49">
        <v>3.7</v>
      </c>
      <c r="M45" s="50">
        <v>3.96</v>
      </c>
      <c r="N45" s="14"/>
      <c r="O45" s="32" t="s">
        <v>91</v>
      </c>
      <c r="P45" s="49">
        <v>4.01</v>
      </c>
      <c r="Q45" s="49">
        <v>3.9</v>
      </c>
    </row>
    <row r="46" spans="1:30">
      <c r="A46" s="1" t="s">
        <v>100</v>
      </c>
      <c r="B46" s="7">
        <v>3.06</v>
      </c>
      <c r="C46" s="3" t="s">
        <v>513</v>
      </c>
      <c r="D46" s="48">
        <v>3.05</v>
      </c>
      <c r="E46" s="48">
        <v>2.93</v>
      </c>
      <c r="F46" s="3" t="s">
        <v>514</v>
      </c>
      <c r="G46" s="48">
        <v>3.02</v>
      </c>
      <c r="H46" s="48">
        <v>3.13</v>
      </c>
      <c r="I46" s="48">
        <v>3.23</v>
      </c>
      <c r="J46" s="48">
        <v>3.22</v>
      </c>
      <c r="K46" s="3" t="s">
        <v>515</v>
      </c>
      <c r="L46" s="49">
        <v>3.71</v>
      </c>
      <c r="M46" s="50">
        <v>3.6</v>
      </c>
      <c r="N46" s="14"/>
      <c r="O46" s="32" t="s">
        <v>100</v>
      </c>
      <c r="P46" s="3" t="s">
        <v>516</v>
      </c>
      <c r="Q46" s="49">
        <v>3.96</v>
      </c>
    </row>
    <row r="47" spans="1:30">
      <c r="A47" s="1" t="s">
        <v>101</v>
      </c>
      <c r="B47" s="7">
        <v>3.2368</v>
      </c>
      <c r="C47" s="48">
        <v>3.2676</v>
      </c>
      <c r="D47" s="48">
        <v>2.9374</v>
      </c>
      <c r="E47" s="48">
        <v>2.8969</v>
      </c>
      <c r="F47" s="48">
        <v>2.9614</v>
      </c>
      <c r="G47" s="48">
        <v>2.4476</v>
      </c>
      <c r="H47" s="48">
        <v>2.5445</v>
      </c>
      <c r="I47" s="48">
        <v>2.5292</v>
      </c>
      <c r="J47" s="48">
        <v>3.7681</v>
      </c>
      <c r="K47" s="3" t="s">
        <v>517</v>
      </c>
      <c r="L47" s="49">
        <v>4.0159</v>
      </c>
      <c r="M47" s="50">
        <v>2.8623</v>
      </c>
      <c r="N47" s="14"/>
      <c r="O47" s="32" t="s">
        <v>101</v>
      </c>
      <c r="P47" s="48">
        <v>2.8562</v>
      </c>
      <c r="Q47" s="49">
        <v>2.4458</v>
      </c>
    </row>
    <row r="48" spans="1:30">
      <c r="A48" s="1" t="s">
        <v>102</v>
      </c>
      <c r="B48" s="7" t="s">
        <v>518</v>
      </c>
      <c r="C48" s="48">
        <v>1.65</v>
      </c>
      <c r="D48" s="48">
        <v>1.67</v>
      </c>
      <c r="E48" s="3" t="s">
        <v>519</v>
      </c>
      <c r="F48" s="48">
        <v>2.01</v>
      </c>
      <c r="G48" s="48">
        <v>1.95</v>
      </c>
      <c r="H48" s="48">
        <v>1.46</v>
      </c>
      <c r="I48" s="48">
        <v>1.79</v>
      </c>
      <c r="J48" s="48">
        <v>2.77</v>
      </c>
      <c r="K48" s="48">
        <v>2.21</v>
      </c>
      <c r="L48" s="3" t="s">
        <v>520</v>
      </c>
      <c r="M48" s="50">
        <v>1.75</v>
      </c>
      <c r="N48" s="14"/>
      <c r="O48" s="32" t="s">
        <v>102</v>
      </c>
      <c r="P48" s="48">
        <v>2.42</v>
      </c>
    </row>
    <row r="49" spans="1:30">
      <c r="A49" s="1" t="s">
        <v>108</v>
      </c>
      <c r="B49" s="7" t="s">
        <v>521</v>
      </c>
      <c r="C49" s="48">
        <v>1.5424</v>
      </c>
      <c r="D49" s="3" t="s">
        <v>522</v>
      </c>
      <c r="E49" s="48">
        <v>1.4412</v>
      </c>
      <c r="F49" s="48">
        <v>1.4798</v>
      </c>
      <c r="G49" s="48">
        <v>1.4158</v>
      </c>
      <c r="H49" s="48">
        <v>1.4118</v>
      </c>
      <c r="I49" s="48">
        <v>1.4379</v>
      </c>
      <c r="J49" s="48">
        <v>1.3769</v>
      </c>
      <c r="K49" s="48">
        <v>1.4022</v>
      </c>
      <c r="L49" s="49">
        <v>1.4183</v>
      </c>
      <c r="M49" s="50">
        <v>1.4665</v>
      </c>
      <c r="N49" s="14"/>
      <c r="O49" s="32" t="s">
        <v>108</v>
      </c>
      <c r="P49" s="48">
        <v>1.4074</v>
      </c>
      <c r="Q49" s="49">
        <v>1.3965</v>
      </c>
    </row>
    <row r="50" spans="1:30">
      <c r="A50" s="1" t="s">
        <v>109</v>
      </c>
      <c r="B50" s="7">
        <v>2.0471</v>
      </c>
      <c r="C50" s="3" t="s">
        <v>523</v>
      </c>
      <c r="D50" s="48">
        <v>2.0145</v>
      </c>
      <c r="E50" s="48">
        <v>2.0382</v>
      </c>
      <c r="F50" s="48">
        <v>2.3012</v>
      </c>
      <c r="G50" s="48">
        <v>2.4054</v>
      </c>
      <c r="H50" s="3" t="s">
        <v>524</v>
      </c>
      <c r="I50" s="48">
        <v>2.0235</v>
      </c>
      <c r="J50" s="48">
        <v>1.9928</v>
      </c>
      <c r="K50" s="48">
        <v>1.9538</v>
      </c>
      <c r="L50" s="49">
        <v>1.8502</v>
      </c>
      <c r="M50" s="50">
        <v>1.8846</v>
      </c>
      <c r="N50" s="14"/>
      <c r="O50" s="32" t="s">
        <v>109</v>
      </c>
      <c r="P50" s="3" t="s">
        <v>525</v>
      </c>
      <c r="Q50" s="49">
        <v>1.6879</v>
      </c>
    </row>
    <row r="51" spans="1:30">
      <c r="A51" s="1" t="s">
        <v>110</v>
      </c>
      <c r="B51" s="7" t="s">
        <v>526</v>
      </c>
      <c r="C51" s="48">
        <v>4.4294</v>
      </c>
      <c r="D51" s="48">
        <v>4.5084</v>
      </c>
      <c r="E51" s="48">
        <v>4.6158</v>
      </c>
      <c r="F51" s="48">
        <v>4.598</v>
      </c>
      <c r="G51" s="48">
        <v>4.9092</v>
      </c>
      <c r="H51" s="48">
        <v>5.0066</v>
      </c>
      <c r="I51" s="48">
        <v>4.7602</v>
      </c>
      <c r="J51" s="3" t="s">
        <v>527</v>
      </c>
      <c r="K51" s="48">
        <v>4.844</v>
      </c>
      <c r="L51" s="49">
        <v>4.4552</v>
      </c>
      <c r="M51" s="50">
        <v>3.9206</v>
      </c>
      <c r="N51" s="14"/>
      <c r="O51" s="32" t="s">
        <v>110</v>
      </c>
      <c r="P51" s="49">
        <v>3.619</v>
      </c>
      <c r="Q51" s="49">
        <v>3.3693</v>
      </c>
    </row>
    <row r="52" spans="1:30">
      <c r="A52" s="1" t="s">
        <v>111</v>
      </c>
      <c r="B52" s="7">
        <v>2.12</v>
      </c>
      <c r="C52" s="48">
        <v>1.77</v>
      </c>
      <c r="D52" s="48">
        <v>1.93</v>
      </c>
      <c r="E52" s="48">
        <v>1.98</v>
      </c>
      <c r="F52" s="48">
        <v>1.83</v>
      </c>
      <c r="G52" s="48">
        <v>1.95</v>
      </c>
      <c r="H52" s="48">
        <v>1.88</v>
      </c>
      <c r="I52" s="48">
        <v>1.87</v>
      </c>
      <c r="J52" s="48">
        <v>1.97</v>
      </c>
      <c r="K52" s="48">
        <v>2.33</v>
      </c>
      <c r="L52" s="49">
        <v>2.46</v>
      </c>
      <c r="M52" s="50">
        <v>2.1223</v>
      </c>
      <c r="N52" s="14"/>
      <c r="O52" s="32" t="s">
        <v>111</v>
      </c>
      <c r="P52" s="49">
        <v>1.97</v>
      </c>
      <c r="Q52" s="49">
        <v>1.79</v>
      </c>
    </row>
    <row r="53" spans="1:30">
      <c r="A53" s="15" t="s">
        <v>112</v>
      </c>
      <c r="B53" s="28"/>
      <c r="C53" s="18"/>
      <c r="D53" s="18"/>
      <c r="E53" s="18"/>
      <c r="F53" s="18"/>
      <c r="G53" s="18"/>
      <c r="H53" s="18"/>
      <c r="I53" s="18"/>
      <c r="J53" s="18"/>
      <c r="K53" s="18"/>
      <c r="L53" s="17"/>
      <c r="M53" s="34"/>
      <c r="N53" s="14"/>
      <c r="O53" s="35" t="s">
        <v>112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spans="1:30">
      <c r="A54" s="15" t="s">
        <v>114</v>
      </c>
      <c r="B54" s="28"/>
      <c r="C54" s="18"/>
      <c r="D54" s="18"/>
      <c r="E54" s="18"/>
      <c r="F54" s="18"/>
      <c r="G54" s="18"/>
      <c r="H54" s="18"/>
      <c r="I54" s="18"/>
      <c r="J54" s="18"/>
      <c r="K54" s="18"/>
      <c r="L54" s="17"/>
      <c r="M54" s="34"/>
      <c r="N54" s="14"/>
      <c r="O54" s="35" t="s">
        <v>114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spans="1:30">
      <c r="A55" s="1" t="s">
        <v>116</v>
      </c>
      <c r="B55" s="7">
        <v>3.64</v>
      </c>
      <c r="C55" s="48">
        <v>3.73</v>
      </c>
      <c r="D55" s="48">
        <v>3.45</v>
      </c>
      <c r="E55" s="48">
        <v>3.63</v>
      </c>
      <c r="F55" s="48">
        <v>3.91</v>
      </c>
      <c r="G55" s="48">
        <v>3.73</v>
      </c>
      <c r="H55" s="48">
        <v>3.26</v>
      </c>
      <c r="I55" s="48">
        <v>3.48</v>
      </c>
      <c r="J55" s="48">
        <v>3.62</v>
      </c>
      <c r="K55" s="48">
        <v>3.61</v>
      </c>
      <c r="L55" s="49">
        <v>3.38</v>
      </c>
      <c r="M55" s="50">
        <v>3.24</v>
      </c>
      <c r="N55" s="14"/>
      <c r="O55" s="32" t="s">
        <v>116</v>
      </c>
      <c r="P55" s="49">
        <v>2.78</v>
      </c>
      <c r="Q55" s="49">
        <v>2.9</v>
      </c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spans="1:30">
      <c r="A56" s="1" t="s">
        <v>117</v>
      </c>
      <c r="B56" s="7">
        <v>2.2949</v>
      </c>
      <c r="C56" s="48">
        <v>2.5076</v>
      </c>
      <c r="D56" s="48">
        <v>2.3734</v>
      </c>
      <c r="E56" s="48">
        <v>2.3422</v>
      </c>
      <c r="F56" s="48">
        <v>2.226</v>
      </c>
      <c r="G56" s="48">
        <v>2.574</v>
      </c>
      <c r="H56" s="48">
        <v>2.3096</v>
      </c>
      <c r="I56" s="48">
        <v>2.1833</v>
      </c>
      <c r="J56" s="48">
        <v>2.0487</v>
      </c>
      <c r="K56" s="48">
        <v>2.0326</v>
      </c>
      <c r="L56" s="49">
        <v>2.0615</v>
      </c>
      <c r="M56" s="50">
        <v>1.9387</v>
      </c>
      <c r="N56" s="14"/>
      <c r="O56" s="32" t="s">
        <v>117</v>
      </c>
      <c r="P56" s="49">
        <v>1.8788</v>
      </c>
      <c r="Q56" s="49">
        <v>1.7907</v>
      </c>
    </row>
    <row r="57" spans="1:30">
      <c r="A57" s="1" t="s">
        <v>118</v>
      </c>
      <c r="B57" s="7" t="s">
        <v>528</v>
      </c>
      <c r="C57" s="48">
        <v>3.26</v>
      </c>
      <c r="D57" s="48">
        <v>3.34</v>
      </c>
      <c r="E57" s="48">
        <v>3.05</v>
      </c>
      <c r="F57" s="48">
        <v>3.22</v>
      </c>
      <c r="G57" s="48">
        <v>3.13</v>
      </c>
      <c r="H57" s="48">
        <v>3.19</v>
      </c>
      <c r="I57" s="48">
        <v>3.2</v>
      </c>
      <c r="J57" s="48">
        <v>3.32</v>
      </c>
      <c r="K57" s="48">
        <v>3.36</v>
      </c>
      <c r="L57" s="49">
        <v>3.55</v>
      </c>
      <c r="M57" s="50">
        <v>3.7</v>
      </c>
      <c r="N57" s="14"/>
      <c r="O57" s="32" t="s">
        <v>118</v>
      </c>
      <c r="P57" s="49">
        <v>3.26</v>
      </c>
      <c r="Q57" s="49">
        <v>3.18</v>
      </c>
    </row>
    <row r="58" spans="1:30">
      <c r="A58" s="1" t="s">
        <v>119</v>
      </c>
      <c r="B58" s="7">
        <v>4.3374</v>
      </c>
      <c r="C58" s="48">
        <v>4.0022</v>
      </c>
      <c r="D58" s="48">
        <v>4.0553</v>
      </c>
      <c r="E58" s="48">
        <v>3.7192</v>
      </c>
      <c r="F58" s="48">
        <v>3.623</v>
      </c>
      <c r="G58" s="48">
        <v>3.16</v>
      </c>
      <c r="H58" s="48">
        <v>3.2644</v>
      </c>
      <c r="I58" s="48">
        <v>3.3275</v>
      </c>
      <c r="J58" s="48">
        <v>3.6089</v>
      </c>
      <c r="K58" s="48">
        <v>3.7756</v>
      </c>
      <c r="L58" s="49">
        <v>3.8389</v>
      </c>
      <c r="M58" s="50">
        <v>4.0365</v>
      </c>
      <c r="N58" s="14"/>
      <c r="O58" s="32" t="s">
        <v>119</v>
      </c>
      <c r="P58" s="49">
        <v>3.915</v>
      </c>
      <c r="Q58" s="49">
        <v>4.037</v>
      </c>
    </row>
    <row r="59" spans="1:30">
      <c r="A59" s="1" t="s">
        <v>120</v>
      </c>
      <c r="B59" s="48">
        <v>1.3987</v>
      </c>
      <c r="C59" s="48">
        <v>1.4033</v>
      </c>
      <c r="D59" s="48">
        <v>1.402</v>
      </c>
      <c r="E59" s="48">
        <v>1.3879</v>
      </c>
      <c r="F59" s="48">
        <v>1.3908</v>
      </c>
      <c r="G59" s="48">
        <v>1.3886</v>
      </c>
      <c r="H59" s="48">
        <v>1.3944</v>
      </c>
      <c r="I59" s="48">
        <v>1.3851</v>
      </c>
      <c r="J59" s="48">
        <v>1.3876</v>
      </c>
      <c r="K59" s="48">
        <v>1.3708</v>
      </c>
      <c r="L59" s="49">
        <v>1.3743</v>
      </c>
      <c r="M59" s="50">
        <v>1.3219</v>
      </c>
      <c r="N59" s="14"/>
      <c r="O59" s="32" t="s">
        <v>120</v>
      </c>
      <c r="P59" s="49">
        <v>1.3245</v>
      </c>
      <c r="Q59" s="49">
        <v>1.3257</v>
      </c>
    </row>
    <row r="60" spans="1:30">
      <c r="A60" s="1" t="s">
        <v>121</v>
      </c>
      <c r="B60" s="7">
        <v>6.11</v>
      </c>
      <c r="C60" s="48">
        <v>6.13</v>
      </c>
      <c r="D60" s="48">
        <v>6.15</v>
      </c>
      <c r="E60" s="48">
        <v>6.15</v>
      </c>
      <c r="F60" s="48">
        <v>6.37</v>
      </c>
      <c r="G60" s="48">
        <v>6.35</v>
      </c>
      <c r="H60" s="48">
        <v>6.37</v>
      </c>
      <c r="I60" s="48">
        <v>5.73</v>
      </c>
      <c r="J60" s="48">
        <v>5.55</v>
      </c>
      <c r="K60" s="48">
        <v>5.62</v>
      </c>
      <c r="L60" s="49">
        <v>6.57</v>
      </c>
      <c r="M60" s="50">
        <v>6.38</v>
      </c>
      <c r="N60" s="14"/>
      <c r="O60" s="32" t="s">
        <v>121</v>
      </c>
      <c r="P60" s="49">
        <v>6.32</v>
      </c>
      <c r="Q60" s="51">
        <v>6.35</v>
      </c>
    </row>
    <row r="61" spans="1:30">
      <c r="A61" s="1" t="s">
        <v>122</v>
      </c>
      <c r="B61" s="7">
        <v>5.385</v>
      </c>
      <c r="C61" s="48">
        <v>6.149</v>
      </c>
      <c r="D61" s="48">
        <v>6.248</v>
      </c>
      <c r="E61" s="48">
        <v>6.205</v>
      </c>
      <c r="F61" s="48">
        <v>6.657</v>
      </c>
      <c r="G61" s="48">
        <v>6.657</v>
      </c>
      <c r="H61" s="48">
        <v>6.951</v>
      </c>
      <c r="I61" s="48">
        <v>7.301</v>
      </c>
      <c r="J61" s="48">
        <v>7.103</v>
      </c>
      <c r="K61" s="48">
        <v>7.329</v>
      </c>
      <c r="L61" s="49">
        <v>7.423</v>
      </c>
      <c r="M61" s="50">
        <v>6.971</v>
      </c>
      <c r="N61" s="14"/>
      <c r="O61" s="32" t="s">
        <v>122</v>
      </c>
      <c r="P61" s="49">
        <v>5.954</v>
      </c>
      <c r="Q61" s="51">
        <v>5.943</v>
      </c>
    </row>
    <row r="62" spans="1:30">
      <c r="A62" s="1" t="s">
        <v>132</v>
      </c>
      <c r="B62" s="7">
        <v>4.66</v>
      </c>
      <c r="C62" s="48">
        <v>4.92</v>
      </c>
      <c r="D62" s="48">
        <v>5.03</v>
      </c>
      <c r="E62" s="48">
        <v>5.83</v>
      </c>
      <c r="F62" s="48">
        <v>5.57</v>
      </c>
      <c r="G62" s="48">
        <v>6.12</v>
      </c>
      <c r="H62" s="48">
        <v>5.84</v>
      </c>
      <c r="I62" s="48">
        <v>5.67</v>
      </c>
      <c r="J62" s="48">
        <v>5.98</v>
      </c>
      <c r="K62" s="48">
        <v>6.1</v>
      </c>
      <c r="L62" s="49">
        <v>6.44</v>
      </c>
      <c r="M62" s="50">
        <v>6.71</v>
      </c>
      <c r="N62" s="14"/>
      <c r="O62" s="32" t="s">
        <v>132</v>
      </c>
      <c r="P62" s="49">
        <v>6.54</v>
      </c>
      <c r="Q62" s="51">
        <v>6.58</v>
      </c>
    </row>
    <row r="63" spans="1:30">
      <c r="A63" s="1" t="s">
        <v>142</v>
      </c>
      <c r="B63" s="7">
        <v>2.2185</v>
      </c>
      <c r="C63" s="48">
        <v>2.4002</v>
      </c>
      <c r="D63" s="48">
        <v>2.2479</v>
      </c>
      <c r="E63" s="48">
        <v>2.2264</v>
      </c>
      <c r="F63" s="48">
        <v>2.88</v>
      </c>
      <c r="G63" s="48">
        <v>2.95</v>
      </c>
      <c r="H63" s="48">
        <v>2.89</v>
      </c>
      <c r="I63" s="48">
        <v>3</v>
      </c>
      <c r="J63" s="48">
        <v>2.92</v>
      </c>
      <c r="K63" s="48">
        <v>3.1</v>
      </c>
      <c r="L63" s="49">
        <v>3.27</v>
      </c>
      <c r="M63" s="50">
        <v>2.9</v>
      </c>
      <c r="N63" s="14"/>
      <c r="O63" s="32" t="s">
        <v>142</v>
      </c>
      <c r="P63" s="49">
        <v>2.45</v>
      </c>
      <c r="Q63" s="49">
        <v>2.42</v>
      </c>
    </row>
    <row r="64" spans="1:30">
      <c r="A64" s="1" t="s">
        <v>143</v>
      </c>
      <c r="B64" s="7">
        <v>6.3077</v>
      </c>
      <c r="C64" s="48">
        <v>5.7653</v>
      </c>
      <c r="D64" s="48">
        <v>5.1763</v>
      </c>
      <c r="E64" s="48">
        <v>5.0307</v>
      </c>
      <c r="F64" s="48">
        <v>5.7181</v>
      </c>
      <c r="G64" s="48">
        <v>5.3153</v>
      </c>
      <c r="H64" s="48">
        <v>5.7355</v>
      </c>
      <c r="I64" s="48">
        <v>6.1013</v>
      </c>
      <c r="J64" s="48">
        <v>6.0172</v>
      </c>
      <c r="K64" s="48">
        <v>6.2476</v>
      </c>
      <c r="L64" s="49">
        <v>6.0837</v>
      </c>
      <c r="M64" s="50">
        <v>5.6571</v>
      </c>
      <c r="N64" s="14"/>
      <c r="O64" s="32" t="s">
        <v>143</v>
      </c>
      <c r="P64" s="49">
        <v>6.1885</v>
      </c>
      <c r="Q64" s="51">
        <v>5.8383</v>
      </c>
    </row>
    <row r="65" spans="1:30">
      <c r="A65" s="1" t="s">
        <v>144</v>
      </c>
      <c r="B65" s="7">
        <v>1.2722</v>
      </c>
      <c r="C65" s="48">
        <v>1.2806</v>
      </c>
      <c r="D65" s="3" t="s">
        <v>529</v>
      </c>
      <c r="E65" s="48">
        <v>1.2506</v>
      </c>
      <c r="F65" s="48">
        <v>1.247</v>
      </c>
      <c r="G65" s="48">
        <v>1.3066</v>
      </c>
      <c r="H65" s="48">
        <v>1.2825</v>
      </c>
      <c r="I65" s="3" t="s">
        <v>530</v>
      </c>
      <c r="J65" s="3" t="s">
        <v>531</v>
      </c>
      <c r="K65" s="3" t="s">
        <v>532</v>
      </c>
      <c r="L65" s="49">
        <v>1.3056</v>
      </c>
      <c r="M65" s="50">
        <v>1.457</v>
      </c>
      <c r="N65" s="14"/>
      <c r="O65" s="32" t="s">
        <v>144</v>
      </c>
      <c r="P65" s="49">
        <v>1.341</v>
      </c>
      <c r="Q65" s="49">
        <v>1.3834</v>
      </c>
    </row>
    <row r="66" spans="1:30">
      <c r="A66" s="1" t="s">
        <v>145</v>
      </c>
      <c r="B66" s="7">
        <v>2.53</v>
      </c>
      <c r="C66" s="48">
        <v>2.53</v>
      </c>
      <c r="D66" s="3" t="s">
        <v>533</v>
      </c>
      <c r="E66" s="48">
        <v>2.43</v>
      </c>
      <c r="F66" s="48">
        <v>2.63</v>
      </c>
      <c r="G66" s="48">
        <v>2.78</v>
      </c>
      <c r="H66" s="48">
        <v>2.77</v>
      </c>
      <c r="I66" s="48">
        <v>3.08</v>
      </c>
      <c r="J66" s="48">
        <v>3.04</v>
      </c>
      <c r="K66" s="48">
        <v>3.22</v>
      </c>
      <c r="L66" s="49">
        <v>3.05</v>
      </c>
      <c r="M66" s="50">
        <v>3.83</v>
      </c>
      <c r="N66" s="14"/>
      <c r="O66" s="32" t="s">
        <v>145</v>
      </c>
      <c r="P66" s="49">
        <v>3.81</v>
      </c>
      <c r="Q66" s="49">
        <v>4.03</v>
      </c>
    </row>
    <row r="67" spans="1:30">
      <c r="A67" s="1" t="s">
        <v>146</v>
      </c>
      <c r="B67" s="7">
        <v>1.91</v>
      </c>
      <c r="C67" s="48">
        <v>1.95</v>
      </c>
      <c r="D67" s="48">
        <v>1.82</v>
      </c>
      <c r="E67" s="48">
        <v>1.87</v>
      </c>
      <c r="F67" s="48">
        <v>1.94</v>
      </c>
      <c r="G67" s="48">
        <v>1.87</v>
      </c>
      <c r="H67" s="48">
        <v>1.84</v>
      </c>
      <c r="I67" s="48">
        <v>1.88</v>
      </c>
      <c r="J67" s="48">
        <v>1.89</v>
      </c>
      <c r="K67" s="48">
        <v>2.02</v>
      </c>
      <c r="L67" s="49">
        <v>2.1</v>
      </c>
      <c r="M67" s="50">
        <v>2.08</v>
      </c>
      <c r="N67" s="14"/>
      <c r="O67" s="32" t="s">
        <v>146</v>
      </c>
      <c r="P67" s="49">
        <v>2.18</v>
      </c>
      <c r="Q67" s="49">
        <v>2.17</v>
      </c>
    </row>
    <row r="68" spans="1:30">
      <c r="A68" s="1" t="s">
        <v>147</v>
      </c>
      <c r="B68" s="7">
        <v>2.94</v>
      </c>
      <c r="C68" s="48">
        <v>3.45</v>
      </c>
      <c r="D68" s="48">
        <v>3.2</v>
      </c>
      <c r="E68" s="48">
        <v>2.96</v>
      </c>
      <c r="F68" s="48">
        <v>2.67</v>
      </c>
      <c r="G68" s="48">
        <v>2.62</v>
      </c>
      <c r="H68" s="48">
        <v>2.57</v>
      </c>
      <c r="I68" s="48">
        <v>2.73</v>
      </c>
      <c r="J68" s="48">
        <v>2.92</v>
      </c>
      <c r="K68" s="48">
        <v>3.17</v>
      </c>
      <c r="L68" s="49">
        <v>2.93</v>
      </c>
      <c r="M68" s="50">
        <v>2.92</v>
      </c>
      <c r="N68" s="14"/>
      <c r="O68" s="32" t="s">
        <v>147</v>
      </c>
      <c r="P68" s="49">
        <v>2.68</v>
      </c>
      <c r="Q68" s="49">
        <v>3.25</v>
      </c>
    </row>
    <row r="69" spans="1:30">
      <c r="A69" s="1" t="s">
        <v>148</v>
      </c>
      <c r="B69" s="7">
        <v>2.0373</v>
      </c>
      <c r="C69" s="48">
        <v>2.0377</v>
      </c>
      <c r="D69" s="48">
        <v>2.1069</v>
      </c>
      <c r="E69" s="48">
        <v>2.1094</v>
      </c>
      <c r="F69" s="48">
        <v>2.2663</v>
      </c>
      <c r="G69" s="48">
        <v>2.0168</v>
      </c>
      <c r="H69" s="48">
        <v>2.1777</v>
      </c>
      <c r="I69" s="48">
        <v>2.2233</v>
      </c>
      <c r="J69" s="48">
        <v>1.5066</v>
      </c>
      <c r="K69" s="48">
        <v>2.3949</v>
      </c>
      <c r="L69" s="3" t="s">
        <v>534</v>
      </c>
      <c r="M69" s="50">
        <v>2.4139</v>
      </c>
      <c r="N69" s="14"/>
      <c r="O69" s="32" t="s">
        <v>148</v>
      </c>
      <c r="P69" s="49">
        <v>2.4176</v>
      </c>
      <c r="Q69" s="49">
        <v>2.3543</v>
      </c>
    </row>
    <row r="70" spans="1:30">
      <c r="A70" s="1" t="s">
        <v>149</v>
      </c>
      <c r="B70" s="7">
        <v>3.33</v>
      </c>
      <c r="C70" s="48">
        <v>3.34</v>
      </c>
      <c r="D70" s="48">
        <v>3.24</v>
      </c>
      <c r="E70" s="48">
        <v>3.32</v>
      </c>
      <c r="F70" s="48">
        <v>3.77</v>
      </c>
      <c r="G70" s="48">
        <v>3.92</v>
      </c>
      <c r="H70" s="48">
        <v>3.87</v>
      </c>
      <c r="I70" s="48">
        <v>3.69</v>
      </c>
      <c r="J70" s="48">
        <v>3.54</v>
      </c>
      <c r="K70" s="48">
        <v>2.34</v>
      </c>
      <c r="L70" s="3" t="s">
        <v>535</v>
      </c>
      <c r="M70" s="4" t="s">
        <v>536</v>
      </c>
      <c r="N70" s="14"/>
      <c r="O70" s="32" t="s">
        <v>149</v>
      </c>
      <c r="P70" s="49">
        <v>1.82</v>
      </c>
      <c r="Q70" s="49">
        <v>1.68</v>
      </c>
    </row>
    <row r="71" spans="1:30">
      <c r="A71" s="1" t="s">
        <v>150</v>
      </c>
      <c r="B71" s="7">
        <v>5.7</v>
      </c>
      <c r="C71" s="48">
        <v>6.25</v>
      </c>
      <c r="D71" s="48">
        <v>5.44</v>
      </c>
      <c r="E71" s="48">
        <v>5.48</v>
      </c>
      <c r="F71" s="48">
        <v>5.27</v>
      </c>
      <c r="G71" s="48">
        <v>4.77</v>
      </c>
      <c r="H71" s="48">
        <v>4.66</v>
      </c>
      <c r="I71" s="48">
        <v>4.6</v>
      </c>
      <c r="J71" s="48">
        <v>5.31</v>
      </c>
      <c r="K71" s="48">
        <v>5.44</v>
      </c>
      <c r="L71" s="49">
        <v>6.97</v>
      </c>
      <c r="M71" s="50">
        <v>4.9</v>
      </c>
      <c r="N71" s="14"/>
      <c r="O71" s="32" t="s">
        <v>150</v>
      </c>
      <c r="P71" s="49">
        <v>3.87</v>
      </c>
      <c r="Q71" s="49">
        <v>3.8</v>
      </c>
    </row>
    <row r="72" spans="1:30">
      <c r="A72" s="1" t="s">
        <v>151</v>
      </c>
      <c r="B72" s="7">
        <v>3.544</v>
      </c>
      <c r="C72" s="53">
        <v>3.84</v>
      </c>
      <c r="D72" s="48">
        <v>4.162</v>
      </c>
      <c r="E72" s="48">
        <v>3.997</v>
      </c>
      <c r="F72" s="48">
        <v>4.311</v>
      </c>
      <c r="G72" s="48">
        <v>4.301</v>
      </c>
      <c r="H72" s="48">
        <v>4.558</v>
      </c>
      <c r="I72" s="48">
        <v>4.832</v>
      </c>
      <c r="J72" s="48">
        <v>4.247</v>
      </c>
      <c r="K72" s="48">
        <v>4.801</v>
      </c>
      <c r="L72" s="49">
        <v>5.2044</v>
      </c>
      <c r="M72" s="50">
        <v>4.566</v>
      </c>
      <c r="N72" s="14"/>
      <c r="O72" s="32" t="s">
        <v>151</v>
      </c>
      <c r="P72" s="49">
        <v>4.626</v>
      </c>
      <c r="Q72" s="49">
        <v>4.599</v>
      </c>
      <c r="R72" s="49"/>
      <c r="S72" s="49"/>
      <c r="T72" s="49"/>
      <c r="U72" s="54"/>
      <c r="V72" s="49"/>
      <c r="W72" s="49"/>
    </row>
    <row r="73" spans="1:30">
      <c r="A73" s="1" t="s">
        <v>152</v>
      </c>
      <c r="B73" s="7">
        <v>6.5682</v>
      </c>
      <c r="C73" s="48">
        <v>6.533</v>
      </c>
      <c r="D73" s="48">
        <v>6.477</v>
      </c>
      <c r="E73" s="48">
        <v>6.6942</v>
      </c>
      <c r="F73" s="48">
        <v>6.848</v>
      </c>
      <c r="G73" s="48">
        <v>6.8587</v>
      </c>
      <c r="H73" s="48">
        <v>7.0567</v>
      </c>
      <c r="I73" s="48">
        <v>7.0252</v>
      </c>
      <c r="J73" s="48">
        <v>7.1182</v>
      </c>
      <c r="K73" s="48">
        <v>7.8878</v>
      </c>
      <c r="L73" s="49">
        <v>7.9566</v>
      </c>
      <c r="M73" s="50">
        <v>7.7738</v>
      </c>
      <c r="N73" s="14"/>
      <c r="O73" s="32" t="s">
        <v>152</v>
      </c>
      <c r="P73" s="49">
        <v>6.6762</v>
      </c>
      <c r="Q73" s="51">
        <v>7.0112</v>
      </c>
      <c r="R73" s="49"/>
      <c r="S73" s="49"/>
      <c r="T73" s="49"/>
      <c r="U73" s="49"/>
      <c r="V73" s="49"/>
      <c r="W73" s="49"/>
    </row>
    <row r="74" spans="1:30">
      <c r="A74" s="1" t="s">
        <v>153</v>
      </c>
      <c r="B74" s="7">
        <v>1.31</v>
      </c>
      <c r="C74" s="48">
        <v>1.34</v>
      </c>
      <c r="D74" s="48">
        <v>1.36</v>
      </c>
      <c r="E74" s="48">
        <v>1.43</v>
      </c>
      <c r="F74" s="48">
        <v>1.4</v>
      </c>
      <c r="G74" s="48">
        <v>1.45</v>
      </c>
      <c r="H74" s="48">
        <v>1.51</v>
      </c>
      <c r="I74" s="48">
        <v>1.64</v>
      </c>
      <c r="J74" s="48">
        <v>1.78</v>
      </c>
      <c r="K74" s="48">
        <v>1.77</v>
      </c>
      <c r="L74" s="49">
        <v>1.83</v>
      </c>
      <c r="M74" s="50">
        <v>2.04</v>
      </c>
      <c r="N74" s="14"/>
      <c r="O74" s="32" t="s">
        <v>153</v>
      </c>
      <c r="P74" s="49">
        <v>1.55</v>
      </c>
      <c r="Q74" s="49">
        <v>1.42</v>
      </c>
    </row>
    <row r="75" spans="1:30">
      <c r="A75" s="1" t="s">
        <v>154</v>
      </c>
      <c r="B75" s="7">
        <v>2.433</v>
      </c>
      <c r="C75" s="48">
        <v>2.545</v>
      </c>
      <c r="D75" s="48">
        <v>2.004</v>
      </c>
      <c r="E75" s="48">
        <v>2.07</v>
      </c>
      <c r="F75" s="48">
        <v>2.302</v>
      </c>
      <c r="G75" s="48">
        <v>2.346</v>
      </c>
      <c r="H75" s="48">
        <v>2.41</v>
      </c>
      <c r="I75" s="48">
        <v>2.321</v>
      </c>
      <c r="J75" s="48">
        <v>2.562</v>
      </c>
      <c r="K75" s="48">
        <v>3.012</v>
      </c>
      <c r="L75" s="49">
        <v>3.195</v>
      </c>
      <c r="M75" s="50">
        <v>3.087</v>
      </c>
      <c r="N75" s="14"/>
      <c r="O75" s="32" t="s">
        <v>154</v>
      </c>
      <c r="P75" s="49">
        <v>2.169</v>
      </c>
      <c r="Q75" s="49">
        <v>2.278</v>
      </c>
    </row>
    <row r="76" spans="1:30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49"/>
      <c r="M76" s="55"/>
      <c r="N76" s="14"/>
      <c r="O76" s="33" t="s">
        <v>537</v>
      </c>
      <c r="P76" s="56">
        <f>average(P75:P3)</f>
        <v>3.6645939393939</v>
      </c>
    </row>
    <row r="77" spans="1:30">
      <c r="A77" s="23" t="s">
        <v>156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4"/>
      <c r="M77" s="23"/>
      <c r="N77" s="14"/>
      <c r="O77" s="38" t="s">
        <v>156</v>
      </c>
      <c r="R77" s="56"/>
      <c r="S77" s="49"/>
      <c r="T77" s="49"/>
      <c r="U77" s="49"/>
      <c r="V77" s="49"/>
      <c r="W77" s="49"/>
      <c r="X77" s="56"/>
      <c r="Y77" s="49"/>
      <c r="Z77" s="49"/>
      <c r="AA77" s="49"/>
      <c r="AB77" s="49"/>
      <c r="AC77" s="49"/>
    </row>
    <row r="78" spans="1:30">
      <c r="A78" s="1" t="s">
        <v>157</v>
      </c>
      <c r="B78" s="57">
        <v>1.3551</v>
      </c>
      <c r="C78" s="57">
        <v>1.298</v>
      </c>
      <c r="D78" s="57">
        <v>1.3472</v>
      </c>
      <c r="E78" s="57">
        <v>1.3172</v>
      </c>
      <c r="F78" s="57">
        <v>1.3371</v>
      </c>
      <c r="G78" s="57">
        <v>1.33</v>
      </c>
      <c r="H78" s="57">
        <v>1.3147</v>
      </c>
      <c r="I78" s="57">
        <v>1.3153</v>
      </c>
      <c r="J78" s="58">
        <v>1.3172</v>
      </c>
      <c r="K78" s="48">
        <v>1.3775</v>
      </c>
      <c r="L78" s="49">
        <v>1.335</v>
      </c>
      <c r="M78" s="50">
        <v>1.407</v>
      </c>
      <c r="N78" s="14"/>
      <c r="O78" s="32" t="s">
        <v>157</v>
      </c>
      <c r="P78" s="49">
        <v>1.3495</v>
      </c>
      <c r="Q78" s="49">
        <v>1.3063</v>
      </c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spans="1:30">
      <c r="A79" s="1" t="s">
        <v>170</v>
      </c>
      <c r="B79" s="48">
        <v>2.5357</v>
      </c>
      <c r="C79" s="48">
        <v>2.4085</v>
      </c>
      <c r="D79" s="48">
        <v>2.3709</v>
      </c>
      <c r="E79" s="48">
        <v>2.0509</v>
      </c>
      <c r="F79" s="48">
        <v>2.1226</v>
      </c>
      <c r="G79" s="48">
        <v>2.1139</v>
      </c>
      <c r="H79" s="48">
        <v>1.6463</v>
      </c>
      <c r="I79" s="48">
        <v>1.7536</v>
      </c>
      <c r="J79" s="48">
        <v>1.925</v>
      </c>
      <c r="K79" s="48">
        <v>1.7642</v>
      </c>
      <c r="L79" s="49">
        <v>1.6369</v>
      </c>
      <c r="M79" s="49">
        <v>1.2101</v>
      </c>
      <c r="N79" s="14"/>
      <c r="O79" s="32" t="s">
        <v>170</v>
      </c>
      <c r="P79" s="49">
        <v>1.6526</v>
      </c>
      <c r="Q79" s="49">
        <v>1.7425</v>
      </c>
      <c r="R79" s="56"/>
      <c r="S79" s="49"/>
      <c r="T79" s="49"/>
      <c r="U79" s="49"/>
      <c r="V79" s="49"/>
      <c r="W79" s="49"/>
      <c r="X79" s="56"/>
      <c r="Y79" s="49"/>
      <c r="Z79" s="49"/>
      <c r="AA79" s="49"/>
      <c r="AB79" s="49"/>
      <c r="AC79" s="49"/>
    </row>
    <row r="80" spans="1:30">
      <c r="A80" s="1" t="s">
        <v>183</v>
      </c>
      <c r="B80" s="39">
        <v>-0.7999</v>
      </c>
      <c r="C80" s="39">
        <v>-0.876</v>
      </c>
      <c r="D80" s="39">
        <v>-0.7272</v>
      </c>
      <c r="E80" s="39">
        <v>-0.6793</v>
      </c>
      <c r="F80" s="39">
        <v>-0.16852</v>
      </c>
      <c r="G80" s="39">
        <v>-0.15591</v>
      </c>
      <c r="H80" s="59">
        <v>-1.7834</v>
      </c>
      <c r="I80" s="59">
        <v>-1.7358</v>
      </c>
      <c r="J80" s="59">
        <v>-1.6856</v>
      </c>
      <c r="K80" s="48">
        <v>-1.5553</v>
      </c>
      <c r="L80" s="49">
        <v>-1.7715</v>
      </c>
      <c r="M80" s="49">
        <v>-1.7061</v>
      </c>
      <c r="N80" s="14"/>
      <c r="O80" s="32" t="s">
        <v>183</v>
      </c>
      <c r="P80" s="49">
        <v>-1.7114</v>
      </c>
      <c r="Q80" s="49">
        <v>-1.6923</v>
      </c>
      <c r="X80" s="49"/>
      <c r="Y80" s="49"/>
      <c r="Z80" s="49"/>
      <c r="AA80" s="49"/>
      <c r="AB80" s="49"/>
      <c r="AC80" s="49"/>
    </row>
    <row r="81" spans="1:30">
      <c r="A81" s="1" t="s">
        <v>196</v>
      </c>
      <c r="B81" s="48">
        <v>1.78</v>
      </c>
      <c r="C81" s="48">
        <v>1.8</v>
      </c>
      <c r="D81" s="48">
        <v>1.81</v>
      </c>
      <c r="E81" s="48">
        <v>1.81</v>
      </c>
      <c r="F81" s="48">
        <v>1.71</v>
      </c>
      <c r="G81" s="48">
        <v>1.73</v>
      </c>
      <c r="H81" s="48">
        <v>1.71</v>
      </c>
      <c r="I81" s="48">
        <v>1.81</v>
      </c>
      <c r="J81" s="48">
        <v>1.84</v>
      </c>
      <c r="K81" s="48">
        <v>1.89</v>
      </c>
      <c r="L81" s="49">
        <v>2.01</v>
      </c>
      <c r="M81" s="49">
        <v>2</v>
      </c>
      <c r="N81" s="14"/>
      <c r="O81" s="32" t="s">
        <v>196</v>
      </c>
      <c r="P81" s="49">
        <v>1.92</v>
      </c>
      <c r="Q81" s="49">
        <v>1.87</v>
      </c>
      <c r="X81" s="56"/>
      <c r="Y81" s="49"/>
      <c r="Z81" s="49"/>
      <c r="AA81" s="49"/>
      <c r="AB81" s="49"/>
      <c r="AC81" s="49"/>
    </row>
    <row r="82" spans="1:30">
      <c r="A82" s="1" t="s">
        <v>209</v>
      </c>
      <c r="B82" s="48">
        <v>13.0688</v>
      </c>
      <c r="C82" s="48">
        <v>12.4259</v>
      </c>
      <c r="D82" s="48">
        <v>11.0313</v>
      </c>
      <c r="E82" s="48">
        <v>10.9368</v>
      </c>
      <c r="F82" s="48">
        <v>10.8107</v>
      </c>
      <c r="G82" s="48">
        <v>11.8571</v>
      </c>
      <c r="H82" s="48">
        <v>11.6852</v>
      </c>
      <c r="I82" s="48">
        <v>11.9007</v>
      </c>
      <c r="J82" s="48">
        <v>11.3905</v>
      </c>
      <c r="K82" s="48">
        <v>11.4881</v>
      </c>
      <c r="L82" s="56">
        <v>11.522</v>
      </c>
      <c r="M82" s="49">
        <v>11.8374</v>
      </c>
      <c r="N82" s="14"/>
      <c r="O82" s="32" t="s">
        <v>209</v>
      </c>
      <c r="P82" s="49">
        <v>11.586</v>
      </c>
      <c r="Q82" s="49">
        <v>11.2179</v>
      </c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spans="1:30">
      <c r="A83" s="1" t="s">
        <v>222</v>
      </c>
      <c r="B83" s="48">
        <v>2.8729</v>
      </c>
      <c r="C83" s="48">
        <v>2.9068</v>
      </c>
      <c r="D83" s="48">
        <v>2.6168</v>
      </c>
      <c r="E83" s="48">
        <v>2.6168</v>
      </c>
      <c r="F83" s="48">
        <v>2.8848</v>
      </c>
      <c r="G83" s="48">
        <v>2.9592</v>
      </c>
      <c r="H83" s="48">
        <v>2.832</v>
      </c>
      <c r="I83" s="48">
        <v>2.7236</v>
      </c>
      <c r="J83" s="48">
        <v>2.7308</v>
      </c>
      <c r="K83" s="48">
        <v>2.8624</v>
      </c>
      <c r="L83" s="49">
        <v>3.1575</v>
      </c>
      <c r="M83" s="49">
        <v>3.1552</v>
      </c>
      <c r="N83" s="14"/>
      <c r="O83" s="32" t="s">
        <v>222</v>
      </c>
      <c r="P83" s="49">
        <v>3.2071</v>
      </c>
      <c r="Q83" s="49">
        <v>3.0838</v>
      </c>
    </row>
    <row r="84" spans="1:30">
      <c r="A84" s="1" t="s">
        <v>235</v>
      </c>
      <c r="B84" s="48">
        <v>3.0504</v>
      </c>
      <c r="C84" s="48">
        <v>2.7914</v>
      </c>
      <c r="D84" s="48">
        <v>2.9599</v>
      </c>
      <c r="E84" s="48">
        <v>2.0933</v>
      </c>
      <c r="F84" s="48">
        <v>2.0886</v>
      </c>
      <c r="G84" s="48">
        <v>2.4927</v>
      </c>
      <c r="H84" s="48">
        <v>2.708</v>
      </c>
      <c r="I84" s="48">
        <v>3.3142</v>
      </c>
      <c r="J84" s="48">
        <v>3.3382</v>
      </c>
      <c r="K84" s="48">
        <v>3.5492</v>
      </c>
      <c r="L84" s="49">
        <v>3.3433</v>
      </c>
      <c r="M84" s="49">
        <v>5.166</v>
      </c>
      <c r="N84" s="14"/>
      <c r="O84" s="32" t="s">
        <v>235</v>
      </c>
      <c r="P84" s="49">
        <v>4.4126</v>
      </c>
      <c r="Q84" s="49">
        <v>4.0777</v>
      </c>
    </row>
    <row r="85" spans="1:30">
      <c r="A85" s="1" t="s">
        <v>248</v>
      </c>
      <c r="B85" s="7"/>
      <c r="C85" s="3"/>
      <c r="D85" s="3"/>
      <c r="E85" s="3"/>
      <c r="F85" s="3"/>
      <c r="G85" s="3"/>
      <c r="H85" s="3"/>
      <c r="I85" s="3"/>
      <c r="J85" s="3"/>
      <c r="K85" s="3"/>
      <c r="M85" s="8"/>
      <c r="N85" s="14"/>
      <c r="O85" s="32" t="s">
        <v>248</v>
      </c>
      <c r="P85" s="49">
        <v>7.3024</v>
      </c>
      <c r="Q85" s="49">
        <v>7.0847</v>
      </c>
    </row>
    <row r="86" spans="1:30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M86" s="8"/>
      <c r="N86" s="14"/>
      <c r="O86" s="33" t="s">
        <v>538</v>
      </c>
      <c r="P86" s="56">
        <f>average(P85:P78)</f>
        <v>3.71485</v>
      </c>
    </row>
    <row r="87" spans="1:30">
      <c r="A87" s="23" t="s">
        <v>249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4"/>
      <c r="M87" s="23"/>
      <c r="N87" s="14"/>
      <c r="O87" s="38" t="s">
        <v>249</v>
      </c>
    </row>
    <row r="88" spans="1:30">
      <c r="A88" s="1" t="s">
        <v>250</v>
      </c>
      <c r="B88" s="7">
        <v>1.918</v>
      </c>
      <c r="C88" s="7">
        <v>1.9032</v>
      </c>
      <c r="D88" s="7">
        <v>1.7275</v>
      </c>
      <c r="E88" s="7">
        <v>1.889</v>
      </c>
      <c r="F88" s="7">
        <v>1.9408</v>
      </c>
      <c r="G88" s="7">
        <v>1.9717</v>
      </c>
      <c r="H88" s="7">
        <v>2.0341</v>
      </c>
      <c r="I88" s="7">
        <v>2.0564</v>
      </c>
      <c r="J88" s="7">
        <v>2.1497</v>
      </c>
      <c r="K88" s="7">
        <v>2.179</v>
      </c>
      <c r="L88" s="7">
        <v>2.0714</v>
      </c>
      <c r="M88" s="1">
        <v>2.0295</v>
      </c>
      <c r="N88" s="14"/>
      <c r="O88" s="32" t="s">
        <v>250</v>
      </c>
      <c r="P88" s="49">
        <v>1.9186</v>
      </c>
      <c r="Q88" s="49">
        <v>1.7655</v>
      </c>
    </row>
    <row r="89" spans="1:30" ht="15.28053114822933" customHeight="1">
      <c r="A89" s="1" t="s">
        <v>251</v>
      </c>
      <c r="B89" s="7">
        <v>-7.7553</v>
      </c>
      <c r="C89" s="7">
        <v>-7.7287</v>
      </c>
      <c r="D89" s="7">
        <v>-7.6535</v>
      </c>
      <c r="E89" s="7">
        <v>-7.8535</v>
      </c>
      <c r="F89" s="7">
        <v>-7.2831</v>
      </c>
      <c r="G89" s="7">
        <v>-7.4184</v>
      </c>
      <c r="H89" s="7">
        <v>-7.3563</v>
      </c>
      <c r="I89" s="7">
        <v>-7.7041</v>
      </c>
      <c r="J89" s="7">
        <v>-7.2411</v>
      </c>
      <c r="K89" s="7">
        <v>-7.1729</v>
      </c>
      <c r="L89" s="7">
        <v>-7.1116</v>
      </c>
      <c r="M89" s="1">
        <v>-7.2021</v>
      </c>
      <c r="N89" s="14"/>
      <c r="O89" s="32" t="s">
        <v>251</v>
      </c>
    </row>
    <row r="90" spans="1:30" ht="15.311216277490075" customHeight="1">
      <c r="A90" s="1" t="s">
        <v>252</v>
      </c>
      <c r="B90" s="7">
        <v>2.4</v>
      </c>
      <c r="C90" s="7">
        <v>2.43</v>
      </c>
      <c r="D90" s="7">
        <v>2.47</v>
      </c>
      <c r="E90" s="7">
        <v>2.56</v>
      </c>
      <c r="F90" s="7">
        <v>2.62</v>
      </c>
      <c r="G90" s="7">
        <v>2.67</v>
      </c>
      <c r="H90" s="7">
        <v>2.71</v>
      </c>
      <c r="I90" s="7">
        <v>2.62</v>
      </c>
      <c r="J90" s="7">
        <v>2.87</v>
      </c>
      <c r="K90" s="7">
        <v>2.95</v>
      </c>
      <c r="L90" s="7">
        <v>2.98</v>
      </c>
      <c r="M90" s="1">
        <v>2.95</v>
      </c>
      <c r="N90" s="14"/>
      <c r="O90" s="32" t="s">
        <v>252</v>
      </c>
      <c r="P90" s="49">
        <v>2.65</v>
      </c>
      <c r="Q90" s="49">
        <v>2.74</v>
      </c>
    </row>
    <row r="91" spans="1:30" ht="16.299011739220685" customHeight="1">
      <c r="A91" s="1" t="s">
        <v>253</v>
      </c>
      <c r="B91" s="7">
        <v>2.35</v>
      </c>
      <c r="C91" s="7">
        <v>2.179</v>
      </c>
      <c r="D91" s="7">
        <v>2.3736</v>
      </c>
      <c r="E91" s="7">
        <v>2.3302</v>
      </c>
      <c r="F91" s="7">
        <v>2.4824</v>
      </c>
      <c r="G91" s="7">
        <v>2.5479</v>
      </c>
      <c r="H91" s="7">
        <v>2.5639</v>
      </c>
      <c r="I91" s="7"/>
      <c r="J91" s="7">
        <v>2.655</v>
      </c>
      <c r="K91" s="7">
        <v>2.81</v>
      </c>
      <c r="L91" s="7">
        <v>2.8695</v>
      </c>
      <c r="M91" s="1">
        <v>2.8609</v>
      </c>
      <c r="N91" s="14"/>
      <c r="O91" s="32" t="s">
        <v>253</v>
      </c>
      <c r="P91" s="49">
        <v>2.5235</v>
      </c>
    </row>
    <row r="92" spans="1:30" ht="14.817298198168677" customHeight="1">
      <c r="A92" s="1" t="s">
        <v>254</v>
      </c>
      <c r="B92" s="7">
        <v>3.27</v>
      </c>
      <c r="C92" s="7">
        <v>3.342</v>
      </c>
      <c r="D92" s="7">
        <v>3.243</v>
      </c>
      <c r="E92" s="7">
        <v>3.292</v>
      </c>
      <c r="F92" s="7">
        <v>3.305</v>
      </c>
      <c r="G92" s="7">
        <v>3.375</v>
      </c>
      <c r="H92" s="7">
        <v>3.097</v>
      </c>
      <c r="I92" s="7">
        <v>2.47</v>
      </c>
      <c r="J92" s="7">
        <v>2.76</v>
      </c>
      <c r="K92" s="7">
        <v>2.729</v>
      </c>
      <c r="L92" s="7">
        <v>2.7045</v>
      </c>
      <c r="M92" s="1">
        <v>2.8167</v>
      </c>
      <c r="N92" s="14"/>
      <c r="O92" s="32" t="s">
        <v>254</v>
      </c>
      <c r="P92" s="49">
        <v>2.8597</v>
      </c>
      <c r="Q92" s="49">
        <v>2.8274</v>
      </c>
    </row>
    <row r="93" spans="1:30" ht="15.805114008355304" customHeight="1">
      <c r="A93" s="1" t="s">
        <v>255</v>
      </c>
      <c r="B93" s="7">
        <v>1.507</v>
      </c>
      <c r="C93" s="7">
        <v>1.5</v>
      </c>
      <c r="D93" s="7">
        <v>1.458</v>
      </c>
      <c r="E93" s="7">
        <v>1.552</v>
      </c>
      <c r="F93" s="7">
        <v>1.574</v>
      </c>
      <c r="G93" s="7">
        <v>1.599</v>
      </c>
      <c r="H93" s="7">
        <v>1.625</v>
      </c>
      <c r="I93" s="7">
        <v>1.665</v>
      </c>
      <c r="J93" s="7">
        <v>1.732</v>
      </c>
      <c r="K93" s="7">
        <v>1.787</v>
      </c>
      <c r="L93" s="7">
        <v>2</v>
      </c>
      <c r="M93" s="1">
        <v>1.8325</v>
      </c>
      <c r="N93" s="14"/>
      <c r="O93" s="32" t="s">
        <v>255</v>
      </c>
      <c r="P93" s="49">
        <v>1.8189</v>
      </c>
      <c r="Q93" s="49">
        <v>1.862</v>
      </c>
    </row>
    <row r="94" spans="1:30" ht="14.817298198168677" customHeight="1">
      <c r="A94" s="1" t="s">
        <v>256</v>
      </c>
      <c r="B94" s="7">
        <v>2.4343</v>
      </c>
      <c r="C94" s="7">
        <v>0.223</v>
      </c>
      <c r="D94" s="7">
        <v>2.0668</v>
      </c>
      <c r="E94" s="7">
        <v>2.255</v>
      </c>
      <c r="F94" s="7">
        <v>2.4707</v>
      </c>
      <c r="G94" s="7">
        <v>2.6536</v>
      </c>
      <c r="H94" s="7">
        <v>2.5227</v>
      </c>
      <c r="I94" s="7">
        <v>2.7936</v>
      </c>
      <c r="J94" s="7">
        <v>3.1817</v>
      </c>
      <c r="K94" s="7">
        <v>3.1888</v>
      </c>
      <c r="L94" s="7">
        <v>3.357</v>
      </c>
      <c r="M94" s="1">
        <v>4.041</v>
      </c>
      <c r="N94" s="14"/>
      <c r="O94" s="32" t="s">
        <v>256</v>
      </c>
      <c r="P94" s="49">
        <v>2.7973</v>
      </c>
      <c r="Q94" s="49">
        <v>3.2274</v>
      </c>
    </row>
    <row r="95" spans="1:30" ht="16.299032087676853" customHeight="1">
      <c r="A95" s="1" t="s">
        <v>257</v>
      </c>
      <c r="B95" s="7">
        <v>6.52</v>
      </c>
      <c r="C95" s="7">
        <v>6.53</v>
      </c>
      <c r="D95" s="7">
        <v>6.22</v>
      </c>
      <c r="E95" s="7">
        <v>6.58</v>
      </c>
      <c r="F95" s="7">
        <v>6.24</v>
      </c>
      <c r="G95" s="7">
        <v>6.44</v>
      </c>
      <c r="H95" s="7">
        <v>6.59</v>
      </c>
      <c r="I95" s="7">
        <v>6.61</v>
      </c>
      <c r="J95" s="7">
        <v>6.68</v>
      </c>
      <c r="K95" s="7">
        <v>6.91</v>
      </c>
      <c r="L95" s="7">
        <v>7.44</v>
      </c>
      <c r="M95" s="1">
        <v>7.97</v>
      </c>
      <c r="N95" s="14"/>
      <c r="O95" s="32" t="s">
        <v>257</v>
      </c>
      <c r="P95" s="49">
        <v>6.52</v>
      </c>
      <c r="Q95" s="49">
        <v>7.61</v>
      </c>
    </row>
    <row r="96" spans="1:30" ht="15.291377931565117" customHeight="1">
      <c r="A96" s="1" t="s">
        <v>258</v>
      </c>
      <c r="B96" s="7">
        <v>8.1525</v>
      </c>
      <c r="C96" s="7">
        <v>7.858</v>
      </c>
      <c r="D96" s="7">
        <v>7.6098</v>
      </c>
      <c r="E96" s="7">
        <v>7.6265</v>
      </c>
      <c r="F96" s="7">
        <v>7.1218</v>
      </c>
      <c r="G96" s="7">
        <v>6.9841</v>
      </c>
      <c r="H96" s="7">
        <v>6.5888</v>
      </c>
      <c r="I96" s="7">
        <v>6.1989</v>
      </c>
      <c r="J96" s="7">
        <v>5.5106</v>
      </c>
      <c r="K96" s="7">
        <v>5.169</v>
      </c>
      <c r="L96" s="7">
        <v>6.424</v>
      </c>
      <c r="M96" s="1">
        <v>6.3982</v>
      </c>
      <c r="N96" s="14"/>
      <c r="O96" s="32" t="s">
        <v>258</v>
      </c>
      <c r="P96" s="49">
        <v>6.347</v>
      </c>
      <c r="Q96" s="49">
        <v>6.3565</v>
      </c>
    </row>
    <row r="97" spans="1:30" ht="16.299011739220685" customHeight="1">
      <c r="A97" s="1" t="s">
        <v>259</v>
      </c>
      <c r="B97" s="7">
        <v>3.6018</v>
      </c>
      <c r="C97" s="7">
        <v>3.8719</v>
      </c>
      <c r="D97" s="7">
        <v>4.3598</v>
      </c>
      <c r="E97" s="7">
        <v>4.5161</v>
      </c>
      <c r="F97" s="7">
        <v>4.2512</v>
      </c>
      <c r="G97" s="7">
        <v>4.1874</v>
      </c>
      <c r="H97" s="7">
        <v>4.2376</v>
      </c>
      <c r="I97" s="7">
        <v>4.1803</v>
      </c>
      <c r="J97" s="7">
        <v>4.0514</v>
      </c>
      <c r="K97" s="7">
        <v>4.095</v>
      </c>
      <c r="L97" s="7">
        <v>4.21</v>
      </c>
      <c r="M97" s="1">
        <v>4.2808</v>
      </c>
      <c r="N97" s="14"/>
      <c r="O97" s="32" t="s">
        <v>259</v>
      </c>
      <c r="P97" s="49">
        <v>4.2894</v>
      </c>
      <c r="Q97" s="49">
        <v>4.4142</v>
      </c>
      <c r="V97" s="49"/>
    </row>
    <row r="98" spans="1:30" ht="17.286847897863485" customHeight="1">
      <c r="A98" s="1" t="s">
        <v>260</v>
      </c>
      <c r="B98" s="7">
        <v>433.5</v>
      </c>
      <c r="C98" s="7">
        <v>435.06</v>
      </c>
      <c r="D98" s="7">
        <v>422.49</v>
      </c>
      <c r="E98" s="7">
        <v>514.73</v>
      </c>
      <c r="F98" s="7">
        <v>555.22</v>
      </c>
      <c r="G98" s="7">
        <v>605.35</v>
      </c>
      <c r="H98" s="7">
        <v>596.9</v>
      </c>
      <c r="I98" s="7">
        <v>676.36</v>
      </c>
      <c r="J98" s="7">
        <v>764.78</v>
      </c>
      <c r="K98" s="7">
        <v>916.34</v>
      </c>
      <c r="L98" s="7">
        <v>565.11</v>
      </c>
      <c r="M98" s="1">
        <v>11.2485</v>
      </c>
      <c r="N98" s="14"/>
      <c r="O98" s="32" t="s">
        <v>260</v>
      </c>
      <c r="P98" s="49">
        <v>2.2243</v>
      </c>
      <c r="Q98" s="2">
        <v>2.3261</v>
      </c>
      <c r="V98" s="49"/>
    </row>
    <row r="99" spans="1:30" ht="18.274663708049957" customHeight="1">
      <c r="A99" s="1" t="s">
        <v>261</v>
      </c>
      <c r="B99" s="7">
        <v>8.9277</v>
      </c>
      <c r="C99" s="7">
        <v>8.9985</v>
      </c>
      <c r="D99" s="7">
        <v>8.7169</v>
      </c>
      <c r="E99" s="7">
        <v>9.3618</v>
      </c>
      <c r="F99" s="7">
        <v>8.9933</v>
      </c>
      <c r="G99" s="7">
        <v>9.171</v>
      </c>
      <c r="H99" s="7">
        <v>8.0631</v>
      </c>
      <c r="I99" s="7">
        <v>7.6838</v>
      </c>
      <c r="J99" s="7">
        <v>8.3162</v>
      </c>
      <c r="K99" s="7">
        <v>9.0658</v>
      </c>
      <c r="L99" s="7">
        <v>9.0993</v>
      </c>
      <c r="M99" s="1">
        <v>8.4941</v>
      </c>
      <c r="N99" s="14"/>
      <c r="O99" s="32" t="s">
        <v>261</v>
      </c>
      <c r="P99" s="49">
        <v>8.5673</v>
      </c>
      <c r="Q99" s="49">
        <v>8.4427</v>
      </c>
      <c r="V99" s="49"/>
    </row>
    <row r="100" spans="1:30" ht="17.286847897863485" customHeight="1">
      <c r="A100" s="15" t="s">
        <v>262</v>
      </c>
      <c r="B100" s="28">
        <v>2.4</v>
      </c>
      <c r="C100" s="28">
        <v>27.4</v>
      </c>
      <c r="D100" s="28">
        <v>32.75</v>
      </c>
      <c r="E100" s="28">
        <v>31.9</v>
      </c>
      <c r="F100" s="28">
        <v>33.07</v>
      </c>
      <c r="G100" s="28">
        <v>34.05</v>
      </c>
      <c r="H100" s="28">
        <v>34.35</v>
      </c>
      <c r="I100" s="28">
        <v>34.88</v>
      </c>
      <c r="J100" s="28">
        <v>34.76</v>
      </c>
      <c r="K100" s="28">
        <v>34.71</v>
      </c>
      <c r="L100" s="28">
        <v>34.8</v>
      </c>
      <c r="M100" s="15">
        <v>35.68</v>
      </c>
      <c r="N100" s="41"/>
      <c r="O100" s="35" t="s">
        <v>262</v>
      </c>
      <c r="P100" s="17" t="s">
        <v>383</v>
      </c>
      <c r="Q100" s="17"/>
      <c r="R100" s="17"/>
      <c r="S100" s="17"/>
      <c r="T100" s="17"/>
      <c r="U100" s="17"/>
      <c r="V100" s="52"/>
      <c r="W100" s="17"/>
      <c r="X100" s="17"/>
      <c r="Y100" s="17"/>
      <c r="Z100" s="17"/>
      <c r="AA100" s="17"/>
      <c r="AB100" s="17"/>
      <c r="AC100" s="17"/>
      <c r="AD100" s="17"/>
    </row>
    <row r="101" spans="1:30" ht="16.79292981854208" customHeight="1">
      <c r="A101" s="1" t="s">
        <v>263</v>
      </c>
      <c r="B101" s="7">
        <v>3.076</v>
      </c>
      <c r="C101" s="7">
        <v>2.914</v>
      </c>
      <c r="D101" s="7">
        <v>2.736</v>
      </c>
      <c r="E101" s="7">
        <v>2.175</v>
      </c>
      <c r="F101" s="7">
        <v>2.247</v>
      </c>
      <c r="G101" s="7">
        <v>2.278</v>
      </c>
      <c r="H101" s="7">
        <v>2.376</v>
      </c>
      <c r="I101" s="7">
        <v>2.764</v>
      </c>
      <c r="J101" s="7">
        <v>3.248</v>
      </c>
      <c r="K101" s="7">
        <v>3.111</v>
      </c>
      <c r="L101" s="7">
        <v>3.14</v>
      </c>
      <c r="M101" s="1">
        <v>3.5248</v>
      </c>
      <c r="N101" s="14"/>
      <c r="O101" s="32" t="s">
        <v>263</v>
      </c>
      <c r="P101" s="49">
        <v>3.2678</v>
      </c>
      <c r="Q101" s="49">
        <v>3.201</v>
      </c>
      <c r="V101" s="49"/>
    </row>
    <row r="102" spans="1:30" ht="16.299011739220685" customHeight="1">
      <c r="A102" s="1" t="s">
        <v>264</v>
      </c>
      <c r="B102" s="7">
        <v>2.07</v>
      </c>
      <c r="C102" s="7">
        <v>2.31</v>
      </c>
      <c r="D102" s="7">
        <v>2.51</v>
      </c>
      <c r="E102" s="7">
        <v>2.85</v>
      </c>
      <c r="F102" s="7">
        <v>2.91</v>
      </c>
      <c r="G102" s="7">
        <v>3.11</v>
      </c>
      <c r="H102" s="7">
        <v>3.08</v>
      </c>
      <c r="I102" s="7">
        <v>3.06</v>
      </c>
      <c r="J102" s="7">
        <v>3.26</v>
      </c>
      <c r="K102" s="7">
        <v>3.58</v>
      </c>
      <c r="L102" s="7">
        <v>3.64</v>
      </c>
      <c r="M102" s="1">
        <v>3.54</v>
      </c>
      <c r="N102" s="14"/>
      <c r="O102" s="32" t="s">
        <v>264</v>
      </c>
      <c r="P102" s="49">
        <v>2.36</v>
      </c>
      <c r="Q102" s="49">
        <v>2.62</v>
      </c>
      <c r="V102" s="49"/>
    </row>
    <row r="103" spans="1:30" ht="15.784791404144626" customHeight="1">
      <c r="A103" s="1" t="s">
        <v>265</v>
      </c>
      <c r="B103" s="7">
        <v>-0.927</v>
      </c>
      <c r="C103" s="7">
        <v>-0.88</v>
      </c>
      <c r="D103" s="7">
        <v>1.649</v>
      </c>
      <c r="E103" s="7">
        <v>2.268</v>
      </c>
      <c r="F103" s="7">
        <v>2.138</v>
      </c>
      <c r="G103" s="7">
        <v>1.506</v>
      </c>
      <c r="H103" s="7">
        <v>1.203</v>
      </c>
      <c r="I103" s="7">
        <v>1.225</v>
      </c>
      <c r="J103" s="7">
        <v>1.204</v>
      </c>
      <c r="K103" s="7">
        <v>1.485</v>
      </c>
      <c r="L103" s="7">
        <v>1.452</v>
      </c>
      <c r="M103" s="1">
        <v>1.2189</v>
      </c>
      <c r="N103" s="14"/>
      <c r="O103" s="32" t="s">
        <v>265</v>
      </c>
      <c r="P103" s="49">
        <v>1.3058</v>
      </c>
      <c r="Q103" s="49">
        <v>1.2285</v>
      </c>
      <c r="V103" s="49"/>
    </row>
    <row r="104" spans="1:30" ht="15.805114008355304" customHeight="1">
      <c r="A104" s="1" t="s">
        <v>266</v>
      </c>
      <c r="B104" s="7">
        <v>9.232</v>
      </c>
      <c r="C104" s="7">
        <v>9.221</v>
      </c>
      <c r="D104" s="7">
        <v>7.686</v>
      </c>
      <c r="E104" s="7">
        <v>7.662</v>
      </c>
      <c r="F104" s="7">
        <v>7.62</v>
      </c>
      <c r="G104" s="7">
        <v>7.304</v>
      </c>
      <c r="H104" s="7">
        <v>6.99</v>
      </c>
      <c r="I104" s="7">
        <v>7.361</v>
      </c>
      <c r="J104" s="7">
        <v>9.005</v>
      </c>
      <c r="K104" s="7">
        <v>8.939</v>
      </c>
      <c r="L104" s="7">
        <v>8.565</v>
      </c>
      <c r="M104" s="1">
        <v>7.9316</v>
      </c>
      <c r="N104" s="14"/>
      <c r="O104" s="32" t="s">
        <v>266</v>
      </c>
      <c r="P104" s="49">
        <v>7.9727</v>
      </c>
      <c r="Q104" s="49">
        <v>7.6366</v>
      </c>
      <c r="V104" s="49"/>
    </row>
    <row r="105" spans="1:30" ht="14.32338011884743" customHeight="1">
      <c r="A105" s="1" t="s">
        <v>267</v>
      </c>
      <c r="B105" s="7">
        <v>2.2999</v>
      </c>
      <c r="C105" s="7">
        <v>2.4677</v>
      </c>
      <c r="D105" s="7">
        <v>2.5422</v>
      </c>
      <c r="E105" s="7">
        <v>2.675</v>
      </c>
      <c r="F105" s="7">
        <v>2.8783</v>
      </c>
      <c r="G105" s="7">
        <v>2.8612</v>
      </c>
      <c r="H105" s="7">
        <v>2.883</v>
      </c>
      <c r="I105" s="7">
        <v>3.1381</v>
      </c>
      <c r="J105" s="7">
        <v>3.405</v>
      </c>
      <c r="K105" s="7">
        <v>3.2092</v>
      </c>
      <c r="L105" s="7">
        <v>3.5418</v>
      </c>
      <c r="M105" s="1">
        <v>3.4</v>
      </c>
      <c r="N105" s="14"/>
      <c r="O105" s="32" t="s">
        <v>267</v>
      </c>
      <c r="P105" s="49">
        <v>3.3163</v>
      </c>
      <c r="Q105" s="49">
        <v>3.0789</v>
      </c>
      <c r="V105" s="49"/>
    </row>
    <row r="106" spans="1:30" ht="15.805114008355607" customHeight="1">
      <c r="A106" s="1" t="s">
        <v>268</v>
      </c>
      <c r="B106" s="7">
        <v>295.26</v>
      </c>
      <c r="C106" s="7">
        <v>320.47</v>
      </c>
      <c r="D106" s="7">
        <v>294.88</v>
      </c>
      <c r="E106" s="7">
        <v>338.01</v>
      </c>
      <c r="F106" s="7">
        <v>346.48</v>
      </c>
      <c r="G106" s="7">
        <v>356.29</v>
      </c>
      <c r="H106" s="7">
        <v>378.69</v>
      </c>
      <c r="I106" s="7">
        <v>414.31</v>
      </c>
      <c r="J106" s="7">
        <v>414.13</v>
      </c>
      <c r="K106" s="7">
        <v>467.61</v>
      </c>
      <c r="L106" s="7">
        <v>446.97</v>
      </c>
      <c r="M106" s="1">
        <v>4.3001</v>
      </c>
      <c r="N106" s="14"/>
      <c r="O106" s="32" t="s">
        <v>268</v>
      </c>
      <c r="P106" s="49">
        <v>4.4276</v>
      </c>
      <c r="Q106" s="2">
        <v>3.7498</v>
      </c>
      <c r="V106" s="49"/>
    </row>
    <row r="107" spans="1:30" ht="14.323359770390807" customHeight="1">
      <c r="A107" s="1" t="s">
        <v>269</v>
      </c>
      <c r="B107" s="7">
        <v>3.254</v>
      </c>
      <c r="C107" s="7">
        <v>3.669</v>
      </c>
      <c r="D107" s="7">
        <v>3.864</v>
      </c>
      <c r="E107" s="7">
        <v>3.817</v>
      </c>
      <c r="F107" s="7">
        <v>4.005</v>
      </c>
      <c r="G107" s="7">
        <v>4.077</v>
      </c>
      <c r="H107" s="7">
        <v>4.343</v>
      </c>
      <c r="I107" s="7">
        <v>4.336</v>
      </c>
      <c r="J107" s="7">
        <v>4.417</v>
      </c>
      <c r="K107" s="7">
        <v>4.115</v>
      </c>
      <c r="L107" s="7">
        <v>4.288</v>
      </c>
      <c r="M107" s="1">
        <v>4.3123</v>
      </c>
      <c r="N107" s="14"/>
      <c r="O107" s="32" t="s">
        <v>269</v>
      </c>
      <c r="P107" s="49">
        <v>3.1611</v>
      </c>
      <c r="Q107" s="49">
        <v>3.3998</v>
      </c>
    </row>
    <row r="108" spans="1:30" ht="16.792970515454424" customHeight="1">
      <c r="A108" s="1" t="s">
        <v>270</v>
      </c>
      <c r="B108" s="7">
        <v>3.382</v>
      </c>
      <c r="C108" s="7">
        <v>3.744</v>
      </c>
      <c r="D108" s="7">
        <v>2.963</v>
      </c>
      <c r="E108" s="7">
        <v>2.763</v>
      </c>
      <c r="F108" s="7">
        <v>2.774</v>
      </c>
      <c r="G108" s="7">
        <v>2.433</v>
      </c>
      <c r="H108" s="7">
        <v>2.549</v>
      </c>
      <c r="I108" s="7">
        <v>2.46</v>
      </c>
      <c r="J108" s="7">
        <v>2.7</v>
      </c>
      <c r="K108" s="7">
        <v>2.242</v>
      </c>
      <c r="L108" s="7">
        <v>2.309</v>
      </c>
      <c r="M108" s="1">
        <v>2.616</v>
      </c>
      <c r="N108" s="14"/>
      <c r="O108" s="32" t="s">
        <v>270</v>
      </c>
      <c r="P108" s="49">
        <v>2.161</v>
      </c>
      <c r="Q108" s="49">
        <v>1.83</v>
      </c>
    </row>
    <row r="109" spans="1:30" ht="14.32342081575977" customHeight="1">
      <c r="A109" s="1" t="s">
        <v>271</v>
      </c>
      <c r="B109" s="7">
        <v>1.32</v>
      </c>
      <c r="C109" s="7">
        <v>1.43</v>
      </c>
      <c r="D109" s="7">
        <v>1.37</v>
      </c>
      <c r="E109" s="7">
        <v>1.41</v>
      </c>
      <c r="F109" s="7">
        <v>1.46</v>
      </c>
      <c r="G109" s="7">
        <v>1.43</v>
      </c>
      <c r="H109" s="7">
        <v>1.32</v>
      </c>
      <c r="I109" s="7">
        <v>1.49</v>
      </c>
      <c r="J109" s="7">
        <v>1.5</v>
      </c>
      <c r="K109" s="7">
        <v>1.88</v>
      </c>
      <c r="L109" s="7">
        <v>1.46</v>
      </c>
      <c r="M109" s="1">
        <v>2.25</v>
      </c>
      <c r="N109" s="14"/>
      <c r="O109" s="32" t="s">
        <v>271</v>
      </c>
      <c r="P109" s="49">
        <v>2.24</v>
      </c>
      <c r="Q109" s="49">
        <v>1.93</v>
      </c>
    </row>
    <row r="110" spans="1:30" ht="16.76488755211115" customHeight="1">
      <c r="A110" s="1" t="s">
        <v>272</v>
      </c>
      <c r="B110" s="7">
        <v>1.604</v>
      </c>
      <c r="C110" s="7">
        <v>1.645</v>
      </c>
      <c r="D110" s="7">
        <v>1.39</v>
      </c>
      <c r="E110" s="7">
        <v>1.306</v>
      </c>
      <c r="F110" s="7">
        <v>1.432</v>
      </c>
      <c r="G110" s="7">
        <v>1.361</v>
      </c>
      <c r="H110" s="7">
        <v>1.309</v>
      </c>
      <c r="I110" s="7">
        <v>1.34</v>
      </c>
      <c r="J110" s="7">
        <v>1.385</v>
      </c>
      <c r="K110" s="7">
        <v>1.416</v>
      </c>
      <c r="L110" s="7">
        <v>2.313</v>
      </c>
      <c r="M110" s="1">
        <v>2.0519</v>
      </c>
      <c r="N110" s="14"/>
      <c r="O110" s="32" t="s">
        <v>272</v>
      </c>
      <c r="P110" s="49">
        <v>2.3258</v>
      </c>
      <c r="Q110" s="49">
        <v>2.0808</v>
      </c>
    </row>
    <row r="111" spans="1:30" ht="16.792950166998406" customHeight="1">
      <c r="A111" s="1" t="s">
        <v>273</v>
      </c>
      <c r="B111" s="7">
        <v>1.724</v>
      </c>
      <c r="C111" s="7">
        <v>1.856</v>
      </c>
      <c r="D111" s="7">
        <v>2.063</v>
      </c>
      <c r="E111" s="7">
        <v>1.755</v>
      </c>
      <c r="F111" s="7">
        <v>1.778</v>
      </c>
      <c r="G111" s="7">
        <v>1.608</v>
      </c>
      <c r="H111" s="7">
        <v>1.459</v>
      </c>
      <c r="I111" s="7">
        <v>1.547</v>
      </c>
      <c r="J111" s="7">
        <v>1.752</v>
      </c>
      <c r="K111" s="7">
        <v>1.596</v>
      </c>
      <c r="L111" s="7">
        <v>2.132</v>
      </c>
      <c r="M111" s="1">
        <v>2.3008</v>
      </c>
      <c r="N111" s="14"/>
      <c r="O111" s="32" t="s">
        <v>273</v>
      </c>
      <c r="P111" s="49">
        <v>2.2429</v>
      </c>
      <c r="Q111" s="49">
        <v>2.1137</v>
      </c>
    </row>
    <row r="112" spans="1:30" ht="16.79290947008576" customHeight="1">
      <c r="A112" s="1" t="s">
        <v>274</v>
      </c>
      <c r="B112" s="7">
        <v>6.59</v>
      </c>
      <c r="C112" s="7">
        <v>6.5</v>
      </c>
      <c r="D112" s="7">
        <v>6.34</v>
      </c>
      <c r="E112" s="7">
        <v>6.34</v>
      </c>
      <c r="F112" s="7">
        <v>6.32</v>
      </c>
      <c r="G112" s="7">
        <v>12.4</v>
      </c>
      <c r="H112" s="7">
        <v>10.38</v>
      </c>
      <c r="I112" s="7">
        <v>10</v>
      </c>
      <c r="J112" s="7">
        <v>9.39</v>
      </c>
      <c r="K112" s="7">
        <v>9.5</v>
      </c>
      <c r="L112" s="7">
        <v>9.19</v>
      </c>
      <c r="M112" s="1">
        <v>9.13</v>
      </c>
      <c r="N112" s="14"/>
      <c r="O112" s="32" t="s">
        <v>274</v>
      </c>
      <c r="P112" s="49">
        <v>9</v>
      </c>
      <c r="Q112" s="49">
        <v>7.68</v>
      </c>
    </row>
    <row r="113" spans="1:30" ht="15.311216277490226" customHeight="1">
      <c r="A113" s="1" t="s">
        <v>275</v>
      </c>
      <c r="B113" s="7">
        <v>2.24</v>
      </c>
      <c r="C113" s="7">
        <v>2.24</v>
      </c>
      <c r="D113" s="7">
        <v>2.25</v>
      </c>
      <c r="E113" s="7">
        <v>2.27</v>
      </c>
      <c r="F113" s="7">
        <v>2.42</v>
      </c>
      <c r="G113" s="7">
        <v>2.44</v>
      </c>
      <c r="H113" s="7">
        <v>2.34</v>
      </c>
      <c r="I113" s="7">
        <v>2.56</v>
      </c>
      <c r="J113" s="7">
        <v>2.83</v>
      </c>
      <c r="K113" s="7">
        <v>2.95</v>
      </c>
      <c r="L113" s="7">
        <v>2.93</v>
      </c>
      <c r="M113" s="1">
        <v>3.15</v>
      </c>
      <c r="N113" s="14"/>
      <c r="O113" s="32" t="s">
        <v>275</v>
      </c>
      <c r="P113" s="49">
        <v>3.19</v>
      </c>
      <c r="Q113" s="49">
        <v>3.18</v>
      </c>
    </row>
    <row r="114" spans="1:30" ht="15.805114008355304" customHeight="1">
      <c r="A114" s="1" t="s">
        <v>276</v>
      </c>
      <c r="B114" s="7">
        <v>15.23</v>
      </c>
      <c r="C114" s="7">
        <v>15.05</v>
      </c>
      <c r="D114" s="7">
        <v>15.32</v>
      </c>
      <c r="E114" s="7">
        <v>16.67</v>
      </c>
      <c r="F114" s="7">
        <v>16.57</v>
      </c>
      <c r="G114" s="7">
        <v>16.81</v>
      </c>
      <c r="H114" s="7">
        <v>17.72</v>
      </c>
      <c r="I114" s="7">
        <v>17.51</v>
      </c>
      <c r="J114" s="7">
        <v>17.2</v>
      </c>
      <c r="K114" s="7">
        <v>17.33</v>
      </c>
      <c r="L114" s="7">
        <v>17.27</v>
      </c>
      <c r="M114" s="1">
        <v>17.32</v>
      </c>
      <c r="N114" s="14"/>
      <c r="O114" s="32" t="s">
        <v>276</v>
      </c>
      <c r="P114" s="49">
        <v>17.34</v>
      </c>
      <c r="Q114" s="49">
        <v>17.45</v>
      </c>
    </row>
    <row r="115" spans="1:30" ht="15.311195929033905" customHeight="1">
      <c r="A115" s="1" t="s">
        <v>277</v>
      </c>
      <c r="B115" s="7">
        <v>7.331</v>
      </c>
      <c r="C115" s="7">
        <v>8.0032</v>
      </c>
      <c r="D115" s="7">
        <v>7.7461</v>
      </c>
      <c r="E115" s="7">
        <v>7.7776</v>
      </c>
      <c r="F115" s="7">
        <v>7.6842</v>
      </c>
      <c r="G115" s="7">
        <v>7.2888</v>
      </c>
      <c r="H115" s="7">
        <v>6.819</v>
      </c>
      <c r="I115" s="7">
        <v>9.7475</v>
      </c>
      <c r="J115" s="7">
        <v>6.5898</v>
      </c>
      <c r="K115" s="7">
        <v>6.343</v>
      </c>
      <c r="L115" s="7">
        <v>6.5407</v>
      </c>
      <c r="M115" s="1">
        <v>6.5301</v>
      </c>
      <c r="N115" s="14"/>
      <c r="O115" s="32" t="s">
        <v>277</v>
      </c>
      <c r="P115" s="49">
        <v>6.32</v>
      </c>
      <c r="Q115" s="49">
        <v>6.301</v>
      </c>
    </row>
    <row r="116" spans="1:30" ht="15.311216277490226" customHeight="1">
      <c r="A116" s="1" t="s">
        <v>278</v>
      </c>
      <c r="B116" s="7">
        <v>19.35</v>
      </c>
      <c r="C116" s="7">
        <v>22.29</v>
      </c>
      <c r="D116" s="7">
        <v>21.47</v>
      </c>
      <c r="E116" s="7">
        <v>23.01</v>
      </c>
      <c r="F116" s="7">
        <v>24.33</v>
      </c>
      <c r="G116" s="7">
        <v>25.64</v>
      </c>
      <c r="H116" s="7">
        <v>25.77</v>
      </c>
      <c r="I116" s="7">
        <v>25.75</v>
      </c>
      <c r="J116" s="7">
        <v>25.62</v>
      </c>
      <c r="K116" s="7">
        <v>24.49</v>
      </c>
      <c r="L116" s="7">
        <v>26.62</v>
      </c>
      <c r="M116" s="1">
        <v>27.39</v>
      </c>
      <c r="N116" s="14"/>
      <c r="O116" s="32" t="s">
        <v>278</v>
      </c>
      <c r="P116" s="49">
        <v>29.74</v>
      </c>
      <c r="Q116" s="49">
        <v>29.74</v>
      </c>
    </row>
    <row r="117" spans="1:30" ht="17.28682754940716" customHeight="1">
      <c r="A117" s="1" t="s">
        <v>279</v>
      </c>
      <c r="B117" s="7">
        <v>6.63</v>
      </c>
      <c r="C117" s="7">
        <v>6.34</v>
      </c>
      <c r="D117" s="7">
        <v>6.33</v>
      </c>
      <c r="E117" s="7">
        <v>5.42</v>
      </c>
      <c r="F117" s="7">
        <v>5.95</v>
      </c>
      <c r="G117" s="7">
        <v>6.06</v>
      </c>
      <c r="H117" s="7">
        <v>5.87</v>
      </c>
      <c r="I117" s="7">
        <v>6.08</v>
      </c>
      <c r="J117" s="7">
        <v>6.19</v>
      </c>
      <c r="K117" s="7">
        <v>6.16</v>
      </c>
      <c r="L117" s="7">
        <v>5.98</v>
      </c>
      <c r="M117" s="1">
        <v>6.54</v>
      </c>
      <c r="N117" s="14"/>
      <c r="O117" s="32" t="s">
        <v>279</v>
      </c>
      <c r="P117" s="49">
        <v>8.66</v>
      </c>
      <c r="Q117" s="49">
        <v>8.14</v>
      </c>
    </row>
    <row r="118" spans="1:30" ht="17.286888594776126" customHeight="1">
      <c r="A118" s="1" t="s">
        <v>280</v>
      </c>
      <c r="B118" s="7">
        <v>5.152</v>
      </c>
      <c r="C118" s="7">
        <v>5.603</v>
      </c>
      <c r="D118" s="7">
        <v>5.623</v>
      </c>
      <c r="E118" s="7">
        <v>5.383</v>
      </c>
      <c r="F118" s="7"/>
      <c r="G118" s="7">
        <v>5.796</v>
      </c>
      <c r="H118" s="7">
        <v>5.875</v>
      </c>
      <c r="I118" s="7">
        <v>6.428</v>
      </c>
      <c r="J118" s="7">
        <v>6.734</v>
      </c>
      <c r="K118" s="7">
        <v>7.242</v>
      </c>
      <c r="L118" s="7">
        <v>7.19</v>
      </c>
      <c r="M118" s="50">
        <v>7.4227</v>
      </c>
      <c r="N118" s="14"/>
      <c r="O118" s="32" t="s">
        <v>280</v>
      </c>
      <c r="P118" s="49">
        <v>7.5163</v>
      </c>
    </row>
    <row r="119" spans="1:30">
      <c r="A119" s="1" t="s">
        <v>281</v>
      </c>
      <c r="B119" s="7">
        <v>3.81</v>
      </c>
      <c r="C119" s="7">
        <v>4.04</v>
      </c>
      <c r="D119" s="7">
        <v>4.48</v>
      </c>
      <c r="E119" s="7">
        <v>4.65</v>
      </c>
      <c r="F119" s="7">
        <v>4.63</v>
      </c>
      <c r="G119" s="7">
        <v>5</v>
      </c>
      <c r="H119" s="7">
        <v>4.56</v>
      </c>
      <c r="I119" s="7">
        <v>4.42</v>
      </c>
      <c r="J119" s="7">
        <v>4.29</v>
      </c>
      <c r="K119" s="7">
        <v>4.23</v>
      </c>
      <c r="L119" s="7">
        <v>4.79</v>
      </c>
      <c r="M119" s="1">
        <v>3.83</v>
      </c>
      <c r="N119" s="14"/>
      <c r="O119" s="32" t="s">
        <v>281</v>
      </c>
      <c r="P119" s="49">
        <v>3.98</v>
      </c>
      <c r="Q119" s="49">
        <v>4.13</v>
      </c>
    </row>
    <row r="120" spans="1:30" ht="14.860596359871428" customHeight="1">
      <c r="A120" s="1" t="s">
        <v>282</v>
      </c>
      <c r="B120" s="7">
        <v>2.909</v>
      </c>
      <c r="C120" s="7">
        <v>2.99</v>
      </c>
      <c r="D120" s="7">
        <v>3.061</v>
      </c>
      <c r="E120" s="7">
        <v>3.433</v>
      </c>
      <c r="F120" s="7">
        <v>3.371</v>
      </c>
      <c r="G120" s="7">
        <v>3.585</v>
      </c>
      <c r="H120" s="7">
        <v>3.503</v>
      </c>
      <c r="I120" s="7">
        <v>3.51</v>
      </c>
      <c r="J120" s="7">
        <v>3.639</v>
      </c>
      <c r="K120" s="7">
        <v>3.606</v>
      </c>
      <c r="L120" s="7">
        <v>2.508</v>
      </c>
      <c r="M120" s="1">
        <v>2.4058</v>
      </c>
      <c r="N120" s="14"/>
      <c r="O120" s="32" t="s">
        <v>282</v>
      </c>
      <c r="P120" s="49">
        <v>2.6157</v>
      </c>
      <c r="Q120" s="49">
        <v>2.8411</v>
      </c>
    </row>
    <row r="121" spans="1:30" ht="17.780745628728557" customHeight="1">
      <c r="A121" s="1" t="s">
        <v>283</v>
      </c>
      <c r="B121" s="7">
        <v>6.57</v>
      </c>
      <c r="C121" s="7">
        <v>6.42</v>
      </c>
      <c r="D121" s="7">
        <v>6.03</v>
      </c>
      <c r="E121" s="7">
        <v>6.46</v>
      </c>
      <c r="F121" s="7">
        <v>6.47</v>
      </c>
      <c r="G121" s="7">
        <v>7.29</v>
      </c>
      <c r="H121" s="7">
        <v>6.8159</v>
      </c>
      <c r="I121" s="7">
        <v>6.8709</v>
      </c>
      <c r="J121" s="7">
        <v>6.7646</v>
      </c>
      <c r="K121" s="7">
        <v>6.6717</v>
      </c>
      <c r="L121" s="7">
        <v>6.3</v>
      </c>
      <c r="M121" s="1">
        <v>6.01</v>
      </c>
      <c r="N121" s="14"/>
      <c r="O121" s="32" t="s">
        <v>283</v>
      </c>
      <c r="P121" s="49">
        <v>2.18</v>
      </c>
    </row>
    <row r="122" spans="1:30" ht="15.805134356811928" customHeight="1">
      <c r="A122" s="1" t="s">
        <v>284</v>
      </c>
      <c r="B122" s="7">
        <v>5.72</v>
      </c>
      <c r="C122" s="7">
        <v>6.06</v>
      </c>
      <c r="D122" s="7">
        <v>6.11</v>
      </c>
      <c r="E122" s="7">
        <v>6.21</v>
      </c>
      <c r="F122" s="7">
        <v>6.53</v>
      </c>
      <c r="G122" s="7">
        <v>4.38</v>
      </c>
      <c r="H122" s="7">
        <v>4.55</v>
      </c>
      <c r="I122" s="7">
        <v>4.67</v>
      </c>
      <c r="J122" s="7">
        <v>5.39</v>
      </c>
      <c r="K122" s="7">
        <v>5.51</v>
      </c>
      <c r="L122" s="7">
        <v>5.63</v>
      </c>
      <c r="M122" s="1">
        <v>6.13</v>
      </c>
      <c r="N122" s="14"/>
      <c r="O122" s="32" t="s">
        <v>284</v>
      </c>
      <c r="P122" s="49">
        <v>6.6</v>
      </c>
      <c r="Q122" s="49">
        <v>6.75</v>
      </c>
    </row>
    <row r="123" spans="1:30" ht="15.31144823240417" customHeight="1">
      <c r="A123" s="1" t="s">
        <v>285</v>
      </c>
      <c r="B123" s="7">
        <v>2</v>
      </c>
      <c r="C123" s="7">
        <v>2.11</v>
      </c>
      <c r="D123" s="7">
        <v>1.98</v>
      </c>
      <c r="E123" s="7">
        <v>2.07</v>
      </c>
      <c r="F123" s="7">
        <v>1.92</v>
      </c>
      <c r="G123" s="7">
        <v>2.04</v>
      </c>
      <c r="H123" s="7">
        <v>1.97</v>
      </c>
      <c r="I123" s="7">
        <v>1.96</v>
      </c>
      <c r="J123" s="7">
        <v>2.09</v>
      </c>
      <c r="K123" s="7">
        <v>1.82</v>
      </c>
      <c r="L123" s="7">
        <v>2.89</v>
      </c>
      <c r="M123" s="1">
        <v>2.58</v>
      </c>
      <c r="N123" s="14"/>
      <c r="O123" s="32" t="s">
        <v>285</v>
      </c>
      <c r="P123" s="49">
        <v>2.33</v>
      </c>
      <c r="Q123" s="49">
        <v>2.06</v>
      </c>
    </row>
    <row r="124" spans="1:30" ht="16.792950166998406" customHeight="1">
      <c r="A124" s="30" t="s">
        <v>286</v>
      </c>
      <c r="B124" s="7">
        <v>2.59</v>
      </c>
      <c r="C124" s="7">
        <v>2.7</v>
      </c>
      <c r="D124" s="7">
        <v>2.38</v>
      </c>
      <c r="E124" s="7">
        <v>2.86</v>
      </c>
      <c r="F124" s="7">
        <v>3.08</v>
      </c>
      <c r="G124" s="7">
        <v>3.44</v>
      </c>
      <c r="H124" s="7">
        <v>3.39</v>
      </c>
      <c r="I124" s="7">
        <v>3.52</v>
      </c>
      <c r="J124" s="7">
        <v>3.46</v>
      </c>
      <c r="K124" s="7">
        <v>3.6</v>
      </c>
      <c r="L124" s="7">
        <v>3.73</v>
      </c>
      <c r="M124" s="1">
        <v>3.62</v>
      </c>
      <c r="N124" s="14"/>
      <c r="O124" s="42" t="s">
        <v>286</v>
      </c>
      <c r="P124" s="49">
        <v>3.06</v>
      </c>
      <c r="Q124" s="49">
        <v>3.23</v>
      </c>
    </row>
    <row r="125" spans="1:30" ht="14.817298198168524" customHeight="1">
      <c r="A125" s="1" t="s">
        <v>287</v>
      </c>
      <c r="B125" s="7">
        <v>2.912</v>
      </c>
      <c r="C125" s="7">
        <v>2.952</v>
      </c>
      <c r="D125" s="7">
        <v>2.915</v>
      </c>
      <c r="E125" s="7">
        <v>2.747</v>
      </c>
      <c r="F125" s="7">
        <v>2.821</v>
      </c>
      <c r="G125" s="7">
        <v>2.818</v>
      </c>
      <c r="H125" s="7">
        <v>2.871</v>
      </c>
      <c r="I125" s="7">
        <v>2.792</v>
      </c>
      <c r="J125" s="7">
        <v>3.021</v>
      </c>
      <c r="K125" s="7">
        <v>3.065</v>
      </c>
      <c r="L125" s="7">
        <v>3.326</v>
      </c>
      <c r="M125" s="1">
        <v>3.2626</v>
      </c>
      <c r="N125" s="14"/>
      <c r="O125" s="32" t="s">
        <v>287</v>
      </c>
      <c r="P125" s="49">
        <v>2.956</v>
      </c>
      <c r="Q125" s="49">
        <v>2.935</v>
      </c>
    </row>
    <row r="126" spans="1:30" ht="17.780745628728862" customHeight="1">
      <c r="A126" s="1" t="s">
        <v>288</v>
      </c>
      <c r="B126" s="7">
        <v>3.91</v>
      </c>
      <c r="C126" s="7">
        <v>3.92</v>
      </c>
      <c r="D126" s="7">
        <v>4.02</v>
      </c>
      <c r="E126" s="7">
        <v>3.35</v>
      </c>
      <c r="F126" s="7">
        <v>3.14</v>
      </c>
      <c r="G126" s="7">
        <v>3.13</v>
      </c>
      <c r="H126" s="7">
        <v>3.03</v>
      </c>
      <c r="I126" s="7">
        <v>2.75</v>
      </c>
      <c r="J126" s="7">
        <v>3.52</v>
      </c>
      <c r="K126" s="7">
        <v>3.24</v>
      </c>
      <c r="L126" s="7">
        <v>3.19</v>
      </c>
      <c r="M126" s="1">
        <v>3.08</v>
      </c>
      <c r="N126" s="14"/>
      <c r="O126" s="32" t="s">
        <v>288</v>
      </c>
      <c r="P126" s="49">
        <v>2.44</v>
      </c>
      <c r="Q126" s="49">
        <v>2.3</v>
      </c>
    </row>
    <row r="127" spans="1:30" ht="14.817277849712505" customHeight="1">
      <c r="A127" s="1" t="s">
        <v>289</v>
      </c>
      <c r="B127" s="7">
        <v>6.49</v>
      </c>
      <c r="C127" s="7">
        <v>7.01</v>
      </c>
      <c r="D127" s="7">
        <v>6.21</v>
      </c>
      <c r="E127" s="7">
        <v>6.47</v>
      </c>
      <c r="F127" s="7">
        <v>6.48</v>
      </c>
      <c r="G127" s="7">
        <v>6.68</v>
      </c>
      <c r="H127" s="7">
        <v>6.69</v>
      </c>
      <c r="I127" s="7">
        <v>6.53</v>
      </c>
      <c r="J127" s="7">
        <v>6.33</v>
      </c>
      <c r="K127" s="7">
        <v>6.16</v>
      </c>
      <c r="L127" s="7">
        <v>6.47</v>
      </c>
      <c r="M127" s="1">
        <v>6.48</v>
      </c>
      <c r="N127" s="14"/>
      <c r="O127" s="32" t="s">
        <v>289</v>
      </c>
      <c r="P127" s="49">
        <v>6.49</v>
      </c>
      <c r="Q127" s="49">
        <v>6.54</v>
      </c>
    </row>
    <row r="128" spans="1:30">
      <c r="A128" s="1" t="s">
        <v>290</v>
      </c>
      <c r="B128" s="7">
        <v>4.28</v>
      </c>
      <c r="C128" s="7">
        <v>4.42</v>
      </c>
      <c r="D128" s="7">
        <v>4.16</v>
      </c>
      <c r="E128" s="7">
        <v>4.15</v>
      </c>
      <c r="F128" s="7">
        <v>3.9</v>
      </c>
      <c r="G128" s="7">
        <v>4.15</v>
      </c>
      <c r="H128" s="7">
        <v>4.25</v>
      </c>
      <c r="I128" s="7">
        <v>4.1</v>
      </c>
      <c r="J128" s="7">
        <v>3.95</v>
      </c>
      <c r="K128" s="7">
        <v>4.11</v>
      </c>
      <c r="L128" s="7">
        <v>4.14</v>
      </c>
      <c r="M128" s="1">
        <v>4.75</v>
      </c>
      <c r="N128" s="14"/>
      <c r="O128" s="32" t="s">
        <v>290</v>
      </c>
      <c r="P128" s="49">
        <v>4.75</v>
      </c>
      <c r="Q128" s="49">
        <v>4.68</v>
      </c>
    </row>
    <row r="129" spans="1:30" ht="16.118837431838983" customHeight="1">
      <c r="A129" s="1" t="s">
        <v>291</v>
      </c>
      <c r="B129" s="7">
        <v>19.865</v>
      </c>
      <c r="C129" s="7">
        <v>19.783</v>
      </c>
      <c r="D129" s="7">
        <v>17.894</v>
      </c>
      <c r="E129" s="7">
        <v>0.018</v>
      </c>
      <c r="F129" s="7">
        <v>0.018</v>
      </c>
      <c r="G129" s="7">
        <v>16.21</v>
      </c>
      <c r="H129" s="7">
        <v>0.016</v>
      </c>
      <c r="I129" s="7">
        <v>15.913</v>
      </c>
      <c r="J129" s="7">
        <v>16.251</v>
      </c>
      <c r="K129" s="7">
        <v>13.878</v>
      </c>
      <c r="L129" s="7">
        <v>14.008</v>
      </c>
      <c r="M129" s="1">
        <v>13.8089</v>
      </c>
      <c r="N129" s="14"/>
      <c r="O129" s="32" t="s">
        <v>291</v>
      </c>
      <c r="P129" s="49">
        <v>13.7039</v>
      </c>
      <c r="Q129" s="49">
        <v>13.0715</v>
      </c>
    </row>
    <row r="130" spans="1:30" ht="15.311195929033905" customHeight="1">
      <c r="A130" s="1" t="s">
        <v>292</v>
      </c>
      <c r="B130" s="7">
        <v>4.85</v>
      </c>
      <c r="C130" s="7">
        <v>5.2</v>
      </c>
      <c r="D130" s="7">
        <v>4.67</v>
      </c>
      <c r="E130" s="7">
        <v>5.03</v>
      </c>
      <c r="F130" s="7">
        <v>4.69</v>
      </c>
      <c r="G130" s="7">
        <v>5.15</v>
      </c>
      <c r="H130" s="7">
        <v>4.94</v>
      </c>
      <c r="I130" s="7">
        <v>4.86</v>
      </c>
      <c r="J130" s="7">
        <v>5.18</v>
      </c>
      <c r="K130" s="7">
        <v>5.15</v>
      </c>
      <c r="L130" s="7">
        <v>5.49</v>
      </c>
      <c r="M130" s="1">
        <v>4.82</v>
      </c>
      <c r="N130" s="14"/>
      <c r="O130" s="32" t="s">
        <v>292</v>
      </c>
      <c r="P130" s="49">
        <v>5.37</v>
      </c>
      <c r="Q130" s="49">
        <v>5.28</v>
      </c>
    </row>
    <row r="131" spans="1:30" ht="16.792950166998406" customHeight="1">
      <c r="A131" s="1" t="s">
        <v>293</v>
      </c>
      <c r="B131" s="7">
        <v>3.3</v>
      </c>
      <c r="C131" s="7">
        <v>2.92</v>
      </c>
      <c r="D131" s="7">
        <v>2.79</v>
      </c>
      <c r="E131" s="7">
        <v>2.96</v>
      </c>
      <c r="F131" s="7">
        <v>2.72</v>
      </c>
      <c r="G131" s="7">
        <v>4.9</v>
      </c>
      <c r="H131" s="7">
        <v>4.73</v>
      </c>
      <c r="I131" s="7">
        <v>4.2</v>
      </c>
      <c r="J131" s="7">
        <v>3.77</v>
      </c>
      <c r="K131" s="7">
        <v>3.56</v>
      </c>
      <c r="L131" s="7">
        <v>3.3</v>
      </c>
      <c r="M131" s="1">
        <v>3.13</v>
      </c>
      <c r="N131" s="14"/>
      <c r="O131" s="32" t="s">
        <v>293</v>
      </c>
      <c r="P131" s="3" t="s">
        <v>539</v>
      </c>
      <c r="Q131" s="49">
        <v>2.62</v>
      </c>
    </row>
    <row r="132" spans="1:30" ht="16.79292981854208" customHeight="1">
      <c r="A132" s="1" t="s">
        <v>294</v>
      </c>
      <c r="B132" s="7">
        <v>8.598</v>
      </c>
      <c r="C132" s="7">
        <v>8.638</v>
      </c>
      <c r="D132" s="7">
        <v>8.722</v>
      </c>
      <c r="E132" s="7">
        <v>9.096</v>
      </c>
      <c r="F132" s="7">
        <v>9.041</v>
      </c>
      <c r="G132" s="7">
        <v>9.087</v>
      </c>
      <c r="H132" s="7">
        <v>8.446</v>
      </c>
      <c r="I132" s="7">
        <v>8.884</v>
      </c>
      <c r="J132" s="7">
        <v>8.885</v>
      </c>
      <c r="K132" s="7">
        <v>9.216</v>
      </c>
      <c r="L132" s="7">
        <v>9.068</v>
      </c>
      <c r="M132" s="1">
        <v>9.4298</v>
      </c>
      <c r="N132" s="14"/>
      <c r="O132" s="32" t="s">
        <v>294</v>
      </c>
      <c r="P132" s="49">
        <v>8.3727</v>
      </c>
      <c r="Q132" s="49">
        <v>8.638</v>
      </c>
    </row>
    <row r="133" spans="1:30">
      <c r="A133" s="1" t="s">
        <v>295</v>
      </c>
      <c r="B133" s="7">
        <v>4.8</v>
      </c>
      <c r="C133" s="7">
        <v>4.73</v>
      </c>
      <c r="D133" s="7">
        <v>7.36</v>
      </c>
      <c r="E133" s="7">
        <v>6.2</v>
      </c>
      <c r="F133" s="7">
        <v>6.33</v>
      </c>
      <c r="G133" s="7">
        <v>6.42</v>
      </c>
      <c r="H133" s="7">
        <v>6.44</v>
      </c>
      <c r="I133" s="7">
        <v>6.44</v>
      </c>
      <c r="J133" s="7">
        <v>6.82</v>
      </c>
      <c r="K133" s="7">
        <v>6.35</v>
      </c>
      <c r="L133" s="7">
        <v>6.39</v>
      </c>
      <c r="M133" s="1">
        <v>5.72</v>
      </c>
      <c r="N133" s="14"/>
      <c r="O133" s="32" t="s">
        <v>295</v>
      </c>
      <c r="P133" s="49">
        <v>5.72</v>
      </c>
      <c r="Q133" s="49">
        <v>5.66</v>
      </c>
    </row>
    <row r="134" spans="1:30" ht="14.646760237694556" customHeight="1">
      <c r="A134" s="1" t="s">
        <v>296</v>
      </c>
      <c r="B134" s="7">
        <v>11.4</v>
      </c>
      <c r="C134" s="7">
        <v>13.1</v>
      </c>
      <c r="D134" s="7">
        <v>13.42</v>
      </c>
      <c r="E134" s="7">
        <v>13.2</v>
      </c>
      <c r="F134" s="7">
        <v>13.9</v>
      </c>
      <c r="G134" s="7">
        <v>12.63</v>
      </c>
      <c r="H134" s="7">
        <v>11.93</v>
      </c>
      <c r="I134" s="7">
        <v>11.78</v>
      </c>
      <c r="J134" s="7">
        <v>11.59</v>
      </c>
      <c r="K134" s="7">
        <v>11.36</v>
      </c>
      <c r="L134" s="7">
        <v>10.39</v>
      </c>
      <c r="M134" s="1">
        <v>10.31</v>
      </c>
      <c r="N134" s="14"/>
      <c r="O134" s="32" t="s">
        <v>296</v>
      </c>
      <c r="P134" s="49">
        <v>10.99</v>
      </c>
      <c r="Q134" s="49">
        <v>11.46</v>
      </c>
    </row>
    <row r="135" spans="1:30" ht="16.79292981854208" customHeight="1">
      <c r="A135" s="1" t="s">
        <v>297</v>
      </c>
      <c r="B135" s="7">
        <v>8.94</v>
      </c>
      <c r="C135" s="7">
        <v>9.096</v>
      </c>
      <c r="D135" s="7">
        <v>8.786</v>
      </c>
      <c r="E135" s="7">
        <v>8.649</v>
      </c>
      <c r="F135" s="7">
        <v>9.013</v>
      </c>
      <c r="G135" s="7">
        <v>8.948</v>
      </c>
      <c r="H135" s="7">
        <v>8.71</v>
      </c>
      <c r="I135" s="7">
        <v>9.202</v>
      </c>
      <c r="J135" s="7">
        <v>9.292</v>
      </c>
      <c r="K135" s="7">
        <v>9.173</v>
      </c>
      <c r="L135" s="7">
        <v>9.485</v>
      </c>
      <c r="M135" s="1">
        <v>9.9676</v>
      </c>
      <c r="N135" s="14"/>
      <c r="O135" s="32" t="s">
        <v>297</v>
      </c>
      <c r="P135" s="49">
        <v>11.771</v>
      </c>
      <c r="Q135" s="49">
        <v>19.3958</v>
      </c>
    </row>
    <row r="136" spans="1:30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M136" s="8"/>
      <c r="N136" s="14"/>
      <c r="O136" s="33" t="s">
        <v>538</v>
      </c>
      <c r="P136" s="56">
        <f>average(P135:P88) </f>
        <v>48.53409787234</v>
      </c>
    </row>
    <row r="137" spans="1:30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M137" s="8"/>
      <c r="N137" s="14"/>
      <c r="O137" s="33"/>
      <c r="P137" s="54"/>
    </row>
    <row r="138" spans="1:30">
      <c r="A138" s="8" t="s">
        <v>540</v>
      </c>
      <c r="D138" s="3"/>
      <c r="E138" s="3" t="s">
        <v>541</v>
      </c>
      <c r="F138" s="3"/>
      <c r="G138" s="3"/>
      <c r="H138" s="3"/>
      <c r="I138" s="3"/>
      <c r="J138" s="3"/>
      <c r="K138" s="3"/>
      <c r="M138" s="8"/>
      <c r="N138" s="14"/>
      <c r="O138" s="33"/>
    </row>
    <row r="139" spans="1:30">
      <c r="A139" s="8" t="s">
        <v>300</v>
      </c>
      <c r="B139" t="s">
        <v>301</v>
      </c>
      <c r="C139" t="s">
        <v>542</v>
      </c>
      <c r="D139" s="3"/>
      <c r="E139" s="3" t="s">
        <v>300</v>
      </c>
      <c r="F139" s="3" t="s">
        <v>301</v>
      </c>
      <c r="G139" s="3" t="s">
        <v>543</v>
      </c>
      <c r="H139" s="3"/>
      <c r="I139" s="3"/>
      <c r="J139" s="3"/>
      <c r="K139" s="3"/>
      <c r="M139" s="8"/>
      <c r="N139" s="14"/>
      <c r="O139" s="33"/>
    </row>
    <row r="140" spans="1:30">
      <c r="A140" s="8">
        <v>1</v>
      </c>
      <c r="B140" t="s">
        <v>544</v>
      </c>
      <c r="C140" s="49">
        <v>16.91</v>
      </c>
      <c r="D140" s="3"/>
      <c r="E140" s="3">
        <v>1</v>
      </c>
      <c r="F140" s="3" t="s">
        <v>544</v>
      </c>
      <c r="G140" s="60" t="s">
        <v>545</v>
      </c>
      <c r="H140" s="3"/>
      <c r="I140" s="3"/>
      <c r="J140" s="3"/>
      <c r="K140" s="3"/>
      <c r="M140" s="8"/>
      <c r="N140" s="14"/>
      <c r="O140" s="33"/>
    </row>
    <row r="141" spans="1:30">
      <c r="A141" s="8">
        <v>2</v>
      </c>
      <c r="B141" t="s">
        <v>546</v>
      </c>
      <c r="C141" s="49">
        <v>10.36</v>
      </c>
      <c r="D141" s="3"/>
      <c r="E141" s="3">
        <v>2</v>
      </c>
      <c r="F141" s="3" t="s">
        <v>313</v>
      </c>
      <c r="G141" s="3" t="s">
        <v>547</v>
      </c>
      <c r="H141" s="3"/>
      <c r="I141" s="3"/>
      <c r="J141" s="3"/>
      <c r="K141" s="3"/>
      <c r="M141" s="8"/>
      <c r="N141" s="14"/>
      <c r="O141" s="33"/>
    </row>
    <row r="142" spans="1:30">
      <c r="A142" s="8">
        <v>3</v>
      </c>
      <c r="B142" t="s">
        <v>548</v>
      </c>
      <c r="C142" s="49">
        <v>7.9516</v>
      </c>
      <c r="D142" s="3"/>
      <c r="E142" s="3">
        <v>3</v>
      </c>
      <c r="F142" s="3" t="s">
        <v>549</v>
      </c>
      <c r="G142" s="3" t="s">
        <v>550</v>
      </c>
      <c r="H142" s="3"/>
      <c r="I142" s="3"/>
      <c r="J142" s="3"/>
      <c r="K142" s="3"/>
      <c r="M142" s="8"/>
      <c r="N142" s="14"/>
      <c r="O142" s="33"/>
    </row>
    <row r="143" spans="1:30">
      <c r="A143" s="8">
        <v>4</v>
      </c>
      <c r="B143" t="s">
        <v>551</v>
      </c>
      <c r="C143" s="49">
        <v>7.7738</v>
      </c>
      <c r="D143" s="3"/>
      <c r="E143" s="3">
        <v>4</v>
      </c>
      <c r="F143" s="3" t="s">
        <v>546</v>
      </c>
      <c r="G143" s="3" t="s">
        <v>552</v>
      </c>
      <c r="H143" s="3"/>
      <c r="I143" s="3"/>
      <c r="J143" s="3"/>
      <c r="K143" s="3"/>
      <c r="M143" s="8"/>
      <c r="N143" s="14"/>
      <c r="O143" s="33"/>
    </row>
    <row r="144" spans="1:30">
      <c r="A144" s="8">
        <v>5</v>
      </c>
      <c r="B144" t="s">
        <v>549</v>
      </c>
      <c r="C144" s="49">
        <v>7.53</v>
      </c>
      <c r="D144" s="3"/>
      <c r="E144" s="3">
        <v>5</v>
      </c>
      <c r="F144" s="3" t="s">
        <v>548</v>
      </c>
      <c r="G144" s="3" t="s">
        <v>553</v>
      </c>
      <c r="H144" s="3"/>
      <c r="I144" s="3"/>
      <c r="J144" s="3"/>
      <c r="K144" s="3"/>
      <c r="M144" s="8"/>
      <c r="N144" s="14"/>
      <c r="O144" s="33"/>
    </row>
    <row r="145" spans="1:30">
      <c r="A145" s="8">
        <v>6</v>
      </c>
      <c r="B145" t="s">
        <v>554</v>
      </c>
      <c r="C145" s="49">
        <v>6.971</v>
      </c>
      <c r="D145" s="3"/>
      <c r="E145" s="3">
        <v>6</v>
      </c>
      <c r="F145" s="3" t="s">
        <v>551</v>
      </c>
      <c r="G145" s="3" t="s">
        <v>555</v>
      </c>
      <c r="H145" s="3"/>
      <c r="I145" s="3"/>
      <c r="J145" s="3"/>
      <c r="K145" s="3"/>
      <c r="M145" s="8"/>
      <c r="N145" s="14"/>
      <c r="O145" s="33"/>
    </row>
    <row r="146" spans="1:30">
      <c r="A146" s="8">
        <v>7</v>
      </c>
      <c r="B146" t="s">
        <v>556</v>
      </c>
      <c r="C146" s="49">
        <v>6.71</v>
      </c>
      <c r="D146" s="3"/>
      <c r="E146" s="3">
        <v>7</v>
      </c>
      <c r="F146" s="3" t="s">
        <v>556</v>
      </c>
      <c r="G146" s="3" t="s">
        <v>557</v>
      </c>
      <c r="H146" s="3"/>
      <c r="I146" s="3"/>
      <c r="J146" s="3"/>
      <c r="K146" s="3"/>
      <c r="M146" s="8"/>
      <c r="N146" s="14"/>
      <c r="O146" s="33"/>
    </row>
    <row r="147" spans="1:30">
      <c r="A147" s="8">
        <v>8</v>
      </c>
      <c r="B147" t="s">
        <v>558</v>
      </c>
      <c r="C147" s="49">
        <v>6.38</v>
      </c>
      <c r="D147" s="3"/>
      <c r="E147" s="3">
        <v>8</v>
      </c>
      <c r="F147" s="3" t="s">
        <v>558</v>
      </c>
      <c r="G147" s="3" t="s">
        <v>559</v>
      </c>
      <c r="H147" s="3"/>
      <c r="I147" s="3"/>
      <c r="J147" s="3"/>
      <c r="K147" s="3"/>
      <c r="M147" s="8"/>
      <c r="N147" s="14"/>
      <c r="O147" s="33"/>
    </row>
    <row r="148" spans="1:30">
      <c r="A148" s="8">
        <v>9</v>
      </c>
      <c r="B148" t="s">
        <v>560</v>
      </c>
      <c r="C148" s="49">
        <v>5.9134</v>
      </c>
      <c r="D148" s="3"/>
      <c r="E148" s="3">
        <v>9</v>
      </c>
      <c r="F148" s="3" t="s">
        <v>561</v>
      </c>
      <c r="G148" s="3" t="s">
        <v>562</v>
      </c>
      <c r="H148" s="3"/>
      <c r="I148" s="3"/>
      <c r="J148" s="3"/>
      <c r="K148" s="3"/>
      <c r="M148" s="8"/>
      <c r="N148" s="14"/>
      <c r="O148" s="33"/>
    </row>
    <row r="149" spans="1:30">
      <c r="A149" s="8">
        <v>10</v>
      </c>
      <c r="B149" t="s">
        <v>561</v>
      </c>
      <c r="C149" s="49">
        <v>5.6571</v>
      </c>
      <c r="D149" s="3"/>
      <c r="E149" s="3">
        <v>10</v>
      </c>
      <c r="F149" s="3" t="s">
        <v>554</v>
      </c>
      <c r="G149" s="3" t="s">
        <v>563</v>
      </c>
      <c r="H149" s="3"/>
      <c r="I149" s="3"/>
      <c r="J149" s="3"/>
      <c r="K149" s="3"/>
      <c r="M149" s="8"/>
      <c r="N149" s="14"/>
      <c r="O149" s="33"/>
    </row>
    <row r="150" spans="1:30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M150" s="8"/>
      <c r="N150" s="14"/>
      <c r="O150" s="33"/>
    </row>
    <row r="151" spans="1:30">
      <c r="A151" s="8"/>
      <c r="B151" s="3"/>
      <c r="C151" s="3"/>
      <c r="D151" s="3"/>
      <c r="E151" s="3" t="s">
        <v>564</v>
      </c>
      <c r="F151" s="3"/>
      <c r="G151" s="3"/>
      <c r="H151" s="3"/>
      <c r="I151" s="3"/>
      <c r="J151" s="3"/>
      <c r="K151" s="3"/>
      <c r="M151" s="8"/>
      <c r="N151" s="14"/>
      <c r="O151" s="33"/>
    </row>
    <row r="152" spans="1:30">
      <c r="A152" s="8" t="s">
        <v>565</v>
      </c>
      <c r="D152" s="3"/>
      <c r="F152" s="1" t="s">
        <v>278</v>
      </c>
      <c r="G152" s="49">
        <v>29.74</v>
      </c>
      <c r="H152" s="3"/>
      <c r="I152" s="3"/>
      <c r="J152" s="3"/>
      <c r="K152" s="3"/>
      <c r="M152" s="8"/>
      <c r="N152" s="14"/>
      <c r="O152" s="33"/>
    </row>
    <row r="153" spans="1:30">
      <c r="A153" s="8" t="s">
        <v>300</v>
      </c>
      <c r="B153" t="s">
        <v>301</v>
      </c>
      <c r="C153" t="s">
        <v>542</v>
      </c>
      <c r="D153" s="3"/>
      <c r="F153" s="1" t="s">
        <v>276</v>
      </c>
      <c r="G153" s="49">
        <v>17.34</v>
      </c>
      <c r="H153" s="3"/>
      <c r="I153" s="3"/>
      <c r="J153" s="3"/>
      <c r="K153" s="3"/>
      <c r="M153" s="8"/>
      <c r="N153" s="14"/>
      <c r="O153" s="33"/>
    </row>
    <row r="154" spans="1:30">
      <c r="A154" s="8">
        <v>1</v>
      </c>
      <c r="B154" t="s">
        <v>566</v>
      </c>
      <c r="C154" s="49">
        <v>27.39</v>
      </c>
      <c r="D154" s="3"/>
      <c r="F154" s="1" t="s">
        <v>291</v>
      </c>
      <c r="G154" s="49">
        <v>13.7039</v>
      </c>
      <c r="H154" s="3"/>
      <c r="I154" s="3"/>
      <c r="J154" s="3"/>
      <c r="K154" s="3"/>
      <c r="M154" s="8"/>
      <c r="N154" s="14"/>
      <c r="O154" s="33"/>
    </row>
    <row r="155" spans="1:30">
      <c r="A155" s="8">
        <v>2</v>
      </c>
      <c r="B155" t="s">
        <v>567</v>
      </c>
      <c r="C155" s="49">
        <v>17.32</v>
      </c>
      <c r="D155" s="3"/>
      <c r="F155" s="1" t="s">
        <v>297</v>
      </c>
      <c r="G155" s="49">
        <v>11.771</v>
      </c>
      <c r="H155" s="3"/>
      <c r="I155" s="3"/>
      <c r="J155" s="3"/>
      <c r="K155" s="3"/>
      <c r="M155" s="8"/>
      <c r="N155" s="14"/>
      <c r="O155" s="33"/>
    </row>
    <row r="156" spans="1:30">
      <c r="A156" s="8">
        <v>3</v>
      </c>
      <c r="B156" t="s">
        <v>423</v>
      </c>
      <c r="C156" s="49">
        <v>13.8089</v>
      </c>
      <c r="D156" s="3"/>
      <c r="F156" s="1" t="s">
        <v>296</v>
      </c>
      <c r="G156" s="49">
        <v>10.99</v>
      </c>
      <c r="H156" s="3"/>
      <c r="I156" s="3"/>
      <c r="J156" s="3"/>
      <c r="K156" s="3"/>
      <c r="M156" s="8"/>
      <c r="N156" s="14"/>
      <c r="O156" s="33"/>
    </row>
    <row r="157" spans="1:30">
      <c r="A157" s="8">
        <v>4</v>
      </c>
      <c r="B157" t="s">
        <v>568</v>
      </c>
      <c r="C157" s="49">
        <v>11.2485</v>
      </c>
      <c r="D157" s="3"/>
      <c r="F157" s="1" t="s">
        <v>274</v>
      </c>
      <c r="G157" s="49">
        <v>9</v>
      </c>
      <c r="H157" s="3"/>
      <c r="I157" s="3"/>
      <c r="J157" s="3"/>
      <c r="K157" s="3"/>
      <c r="M157" s="8"/>
      <c r="N157" s="14"/>
      <c r="O157" s="33"/>
    </row>
    <row r="158" spans="1:30">
      <c r="A158" s="8">
        <v>5</v>
      </c>
      <c r="B158" t="s">
        <v>506</v>
      </c>
      <c r="C158" s="49">
        <v>10.31</v>
      </c>
      <c r="D158" s="3"/>
      <c r="F158" s="1" t="s">
        <v>279</v>
      </c>
      <c r="G158" s="49">
        <v>8.66</v>
      </c>
      <c r="H158" s="3"/>
      <c r="I158" s="3"/>
      <c r="J158" s="3"/>
      <c r="K158" s="3"/>
      <c r="M158" s="8"/>
      <c r="N158" s="14"/>
      <c r="O158" s="33"/>
    </row>
    <row r="159" spans="1:30">
      <c r="A159" s="8">
        <v>6</v>
      </c>
      <c r="B159" t="s">
        <v>569</v>
      </c>
      <c r="C159" s="49">
        <v>9.9676</v>
      </c>
      <c r="D159" s="3"/>
      <c r="F159" s="1" t="s">
        <v>261</v>
      </c>
      <c r="G159" s="49">
        <v>8.5673</v>
      </c>
      <c r="H159" s="3"/>
      <c r="I159" s="3"/>
      <c r="J159" s="3"/>
      <c r="K159" s="3"/>
      <c r="M159" s="8"/>
      <c r="N159" s="14"/>
      <c r="O159" s="33"/>
    </row>
    <row r="160" spans="1:30">
      <c r="A160" s="8">
        <v>7</v>
      </c>
      <c r="B160" t="s">
        <v>334</v>
      </c>
      <c r="C160" s="49">
        <v>9.4298</v>
      </c>
      <c r="D160" s="3"/>
      <c r="F160" s="1" t="s">
        <v>294</v>
      </c>
      <c r="G160" s="49">
        <v>8.3727</v>
      </c>
      <c r="H160" s="3"/>
      <c r="I160" s="3"/>
      <c r="J160" s="3"/>
      <c r="K160" s="3"/>
      <c r="M160" s="8"/>
      <c r="N160" s="14"/>
      <c r="O160" s="33"/>
    </row>
    <row r="161" spans="1:30">
      <c r="A161" s="8">
        <v>8</v>
      </c>
      <c r="B161" t="s">
        <v>570</v>
      </c>
      <c r="C161" s="49">
        <v>9.13</v>
      </c>
      <c r="D161" s="3"/>
      <c r="F161" s="1" t="s">
        <v>266</v>
      </c>
      <c r="G161" s="49">
        <v>7.9727</v>
      </c>
      <c r="H161" s="3"/>
      <c r="I161" s="3"/>
      <c r="J161" s="3"/>
      <c r="K161" s="3"/>
      <c r="M161" s="8"/>
      <c r="N161" s="14"/>
      <c r="O161" s="33"/>
    </row>
    <row r="162" spans="1:30">
      <c r="A162" s="8">
        <v>9</v>
      </c>
      <c r="B162" t="s">
        <v>571</v>
      </c>
      <c r="C162" s="49">
        <v>8.4941</v>
      </c>
      <c r="D162" s="3"/>
      <c r="E162" s="3"/>
      <c r="F162" s="3"/>
      <c r="G162" s="3"/>
      <c r="H162" s="3"/>
      <c r="I162" s="3"/>
      <c r="J162" s="3"/>
      <c r="K162" s="3"/>
      <c r="M162" s="8"/>
      <c r="N162" s="14"/>
      <c r="O162" s="33"/>
    </row>
    <row r="163" spans="1:30">
      <c r="A163" s="8">
        <v>10</v>
      </c>
      <c r="B163" t="s">
        <v>572</v>
      </c>
      <c r="C163" s="49">
        <v>7.97</v>
      </c>
      <c r="D163" s="3"/>
      <c r="E163" s="3"/>
      <c r="F163" s="3"/>
      <c r="G163" s="3"/>
      <c r="H163" s="3"/>
      <c r="I163" s="3"/>
      <c r="J163" s="3"/>
      <c r="K163" s="3"/>
      <c r="M163" s="8"/>
      <c r="N163" s="14"/>
      <c r="O163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62"/>
  <sheetViews>
    <sheetView workbookViewId="0"/>
  </sheetViews>
  <sheetFormatPr defaultRowHeight="15"/>
  <cols>
    <col min="1" max="1" width="49.7109375" customWidth="1"/>
    <col min="2" max="2" width="14.42578125" customWidth="1"/>
    <col min="15" max="15" width="48.5703125" customWidth="1"/>
    <col min="16" max="16" width="25.7109375" customWidth="1"/>
    <col min="17" max="17" width="17.28515625" customWidth="1"/>
  </cols>
  <sheetData>
    <row r="1" spans="1:27" ht="29.333333333333332" customHeight="1">
      <c r="A1" s="1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  <c r="K1" t="s">
        <v>10</v>
      </c>
      <c r="L1" t="s">
        <v>11</v>
      </c>
      <c r="M1" s="8" t="s">
        <v>12</v>
      </c>
      <c r="N1" s="5">
        <v>2026</v>
      </c>
      <c r="O1" s="32" t="s">
        <v>0</v>
      </c>
      <c r="P1" s="7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t="s">
        <v>11</v>
      </c>
      <c r="AA1" s="8" t="s">
        <v>12</v>
      </c>
    </row>
    <row r="2" spans="1:27">
      <c r="A2" s="8" t="s">
        <v>13</v>
      </c>
      <c r="B2" s="3"/>
      <c r="C2" s="3"/>
      <c r="D2" s="3"/>
      <c r="E2" s="3"/>
      <c r="F2" s="3"/>
      <c r="G2" s="3"/>
      <c r="H2" s="3"/>
      <c r="I2" s="3"/>
      <c r="M2" s="8"/>
      <c r="N2" s="10"/>
      <c r="O2" s="33" t="s">
        <v>13</v>
      </c>
      <c r="P2" s="3"/>
    </row>
    <row r="3" spans="1:27">
      <c r="A3" s="1" t="s">
        <v>14</v>
      </c>
      <c r="B3" s="7"/>
      <c r="C3" s="3"/>
      <c r="D3" s="3"/>
      <c r="E3" s="3"/>
      <c r="F3" s="3"/>
      <c r="G3" s="3"/>
      <c r="H3" s="3"/>
      <c r="I3" s="3"/>
      <c r="K3" s="49">
        <v>3.3626</v>
      </c>
      <c r="L3" s="49">
        <v>3.4696</v>
      </c>
      <c r="M3" s="50">
        <v>3.0576</v>
      </c>
      <c r="N3" s="10"/>
      <c r="O3" s="32" t="s">
        <v>14</v>
      </c>
      <c r="P3" s="7">
        <v>3.0956</v>
      </c>
      <c r="Q3" s="51">
        <v>3.1078</v>
      </c>
      <c r="R3" s="49"/>
    </row>
    <row r="4" spans="1:27">
      <c r="A4" s="1" t="s">
        <v>16</v>
      </c>
      <c r="B4" s="7">
        <v>1.608</v>
      </c>
      <c r="C4" s="48">
        <v>1.5725</v>
      </c>
      <c r="D4" s="48">
        <v>1.5168</v>
      </c>
      <c r="E4" s="48">
        <v>1.53</v>
      </c>
      <c r="F4" s="48">
        <v>1.542</v>
      </c>
      <c r="G4" s="48">
        <v>1.51</v>
      </c>
      <c r="H4" s="48">
        <v>1.6827</v>
      </c>
      <c r="I4" s="48">
        <v>1.7426</v>
      </c>
      <c r="J4" s="49">
        <v>1.5569</v>
      </c>
      <c r="K4" s="49">
        <v>1.5063</v>
      </c>
      <c r="L4" s="49">
        <v>1.5582</v>
      </c>
      <c r="M4" s="50">
        <v>1.6327</v>
      </c>
      <c r="N4" s="10"/>
      <c r="O4" s="32" t="s">
        <v>16</v>
      </c>
      <c r="P4" s="48">
        <v>1.6128</v>
      </c>
      <c r="Q4" s="49">
        <v>1.707</v>
      </c>
      <c r="R4" s="49"/>
    </row>
    <row r="5" spans="1:27">
      <c r="A5" s="1" t="s">
        <v>17</v>
      </c>
      <c r="B5" s="7">
        <v>1.4</v>
      </c>
      <c r="C5" s="48">
        <v>1.41</v>
      </c>
      <c r="D5" s="48">
        <v>1.45</v>
      </c>
      <c r="E5" s="48">
        <v>1.48</v>
      </c>
      <c r="F5" s="48">
        <v>1.49</v>
      </c>
      <c r="G5" s="48">
        <v>1.53</v>
      </c>
      <c r="H5" s="48">
        <v>1.54</v>
      </c>
      <c r="I5" s="48">
        <v>1.53</v>
      </c>
      <c r="J5" s="49">
        <v>1.51</v>
      </c>
      <c r="K5" s="49">
        <v>1.53</v>
      </c>
      <c r="L5" s="49">
        <v>1.54</v>
      </c>
      <c r="M5" s="50">
        <v>1.53</v>
      </c>
      <c r="N5" s="10"/>
      <c r="O5" s="32" t="s">
        <v>17</v>
      </c>
      <c r="P5" s="48">
        <v>1.53</v>
      </c>
      <c r="Q5" s="49">
        <v>1.43</v>
      </c>
      <c r="R5" s="49"/>
    </row>
    <row r="6" spans="1:27">
      <c r="A6" s="1" t="s">
        <v>18</v>
      </c>
      <c r="B6" s="7">
        <v>1.7967</v>
      </c>
      <c r="C6" s="48">
        <v>1.8042</v>
      </c>
      <c r="D6" s="48">
        <v>1.819</v>
      </c>
      <c r="E6" s="48">
        <v>1.7585</v>
      </c>
      <c r="F6" s="48">
        <v>1.8137</v>
      </c>
      <c r="G6" s="48">
        <v>1.8209</v>
      </c>
      <c r="H6" s="48">
        <v>1.8292</v>
      </c>
      <c r="I6" s="48">
        <v>1.5628</v>
      </c>
      <c r="J6" s="49">
        <v>1.6022</v>
      </c>
      <c r="K6" s="49">
        <v>1.6083</v>
      </c>
      <c r="L6" s="49">
        <v>1.5808</v>
      </c>
      <c r="M6" s="50">
        <v>1.5682</v>
      </c>
      <c r="N6" s="14"/>
      <c r="O6" s="32" t="s">
        <v>18</v>
      </c>
      <c r="P6" s="48">
        <v>1.5216</v>
      </c>
      <c r="Q6" s="49">
        <v>1.5254</v>
      </c>
      <c r="R6" s="49"/>
    </row>
    <row r="7" spans="1:27">
      <c r="A7" s="1" t="s">
        <v>19</v>
      </c>
      <c r="B7" s="7">
        <v>1.4461</v>
      </c>
      <c r="C7" s="48">
        <v>1.4797</v>
      </c>
      <c r="D7" s="48">
        <v>1.437</v>
      </c>
      <c r="E7" s="48">
        <v>1.3871</v>
      </c>
      <c r="F7" s="48">
        <v>1.5218</v>
      </c>
      <c r="G7" s="48">
        <v>1.5417</v>
      </c>
      <c r="H7" s="48">
        <v>1.5073</v>
      </c>
      <c r="I7" s="48">
        <v>1.4892</v>
      </c>
      <c r="J7" s="49">
        <v>1.4933</v>
      </c>
      <c r="K7" s="49">
        <v>1.4801</v>
      </c>
      <c r="L7" s="49">
        <v>1.4871</v>
      </c>
      <c r="M7" s="50">
        <v>1.4202</v>
      </c>
      <c r="N7" s="14"/>
      <c r="O7" s="32" t="s">
        <v>19</v>
      </c>
      <c r="P7" s="48">
        <v>1.4013</v>
      </c>
      <c r="Q7" s="49">
        <v>1.4194</v>
      </c>
      <c r="R7" s="49"/>
    </row>
    <row r="8" spans="1:27">
      <c r="A8" s="15" t="s">
        <v>20</v>
      </c>
      <c r="B8" s="28"/>
      <c r="C8" s="18"/>
      <c r="D8" s="18"/>
      <c r="E8" s="18"/>
      <c r="F8" s="18"/>
      <c r="G8" s="18"/>
      <c r="H8" s="18"/>
      <c r="I8" s="18"/>
      <c r="J8" s="17"/>
      <c r="K8" s="17"/>
      <c r="L8" s="17"/>
      <c r="M8" s="34"/>
      <c r="N8" s="14"/>
      <c r="O8" s="35" t="s">
        <v>20</v>
      </c>
      <c r="P8" s="18"/>
      <c r="Q8" s="17"/>
      <c r="R8" s="52"/>
      <c r="S8" s="17"/>
      <c r="T8" s="17"/>
      <c r="U8" s="17"/>
      <c r="V8" s="17"/>
      <c r="W8" s="17"/>
      <c r="X8" s="17"/>
      <c r="Y8" s="17"/>
      <c r="Z8" s="17"/>
      <c r="AA8" s="17"/>
    </row>
    <row r="9" spans="1:27">
      <c r="A9" s="1" t="s">
        <v>22</v>
      </c>
      <c r="B9" s="7">
        <v>2.0984</v>
      </c>
      <c r="C9" s="48">
        <v>2.3014</v>
      </c>
      <c r="D9" s="48">
        <v>2.006</v>
      </c>
      <c r="E9" s="48">
        <v>1.7688</v>
      </c>
      <c r="F9" s="48">
        <v>1.6672</v>
      </c>
      <c r="G9" s="48">
        <v>1.7273</v>
      </c>
      <c r="H9" s="48">
        <v>1.6625</v>
      </c>
      <c r="I9" s="48">
        <v>1.864</v>
      </c>
      <c r="J9" s="49">
        <v>1.7085</v>
      </c>
      <c r="K9" s="49">
        <v>1.7437</v>
      </c>
      <c r="L9" s="49">
        <v>1.6817</v>
      </c>
      <c r="M9" s="50">
        <v>1.6817</v>
      </c>
      <c r="N9" s="14"/>
      <c r="O9" s="32" t="s">
        <v>22</v>
      </c>
      <c r="P9" s="48">
        <v>1.8279</v>
      </c>
      <c r="Q9" s="49">
        <v>1.8006</v>
      </c>
      <c r="R9" s="49"/>
    </row>
    <row r="10" spans="1:27">
      <c r="A10" s="1" t="s">
        <v>23</v>
      </c>
      <c r="B10" s="7">
        <v>1.7165</v>
      </c>
      <c r="C10" s="48">
        <v>1.7468</v>
      </c>
      <c r="D10" s="48">
        <v>1.7069</v>
      </c>
      <c r="E10" s="48">
        <v>1.5783</v>
      </c>
      <c r="F10" s="48">
        <v>1.6597</v>
      </c>
      <c r="G10" s="48">
        <v>1.7237</v>
      </c>
      <c r="H10" s="48">
        <v>1.5623</v>
      </c>
      <c r="I10" s="48">
        <v>1.6567</v>
      </c>
      <c r="J10" s="49">
        <v>1.6446</v>
      </c>
      <c r="K10" s="49">
        <v>1.7096</v>
      </c>
      <c r="L10" s="49">
        <v>1.7235</v>
      </c>
      <c r="M10" s="50">
        <v>1.7391</v>
      </c>
      <c r="N10" s="14"/>
      <c r="O10" s="32" t="s">
        <v>23</v>
      </c>
      <c r="P10" s="48">
        <v>1.8665</v>
      </c>
      <c r="Q10" s="51">
        <v>2.0317</v>
      </c>
      <c r="R10" s="49"/>
    </row>
    <row r="11" spans="1:27">
      <c r="A11" s="1" t="s">
        <v>24</v>
      </c>
      <c r="B11" s="7">
        <v>1.5019</v>
      </c>
      <c r="C11" s="48">
        <v>1.5675</v>
      </c>
      <c r="D11" s="48">
        <v>1.694</v>
      </c>
      <c r="E11" s="48">
        <v>1.5181</v>
      </c>
      <c r="F11" s="48">
        <v>1.5025</v>
      </c>
      <c r="G11" s="48">
        <v>1.5941</v>
      </c>
      <c r="H11" s="48">
        <v>1.4641</v>
      </c>
      <c r="I11" s="48">
        <v>1.5121</v>
      </c>
      <c r="J11" s="49">
        <v>1.7261</v>
      </c>
      <c r="K11" s="49">
        <v>1.6029</v>
      </c>
      <c r="L11" s="49">
        <v>1.6458</v>
      </c>
      <c r="M11" s="50">
        <v>1.8043</v>
      </c>
      <c r="N11" s="14"/>
      <c r="O11" s="32" t="s">
        <v>24</v>
      </c>
      <c r="P11" s="48">
        <v>1.596</v>
      </c>
      <c r="R11" s="49"/>
    </row>
    <row r="12" spans="1:27">
      <c r="A12" s="1" t="s">
        <v>25</v>
      </c>
      <c r="B12" s="7">
        <v>1.481</v>
      </c>
      <c r="C12" s="48">
        <v>1.3852</v>
      </c>
      <c r="D12" s="48">
        <v>1.4434</v>
      </c>
      <c r="E12" s="48">
        <v>1.6805</v>
      </c>
      <c r="F12" s="48">
        <v>1.6362</v>
      </c>
      <c r="G12" s="48">
        <v>1.64</v>
      </c>
      <c r="H12" s="48">
        <v>1.7438</v>
      </c>
      <c r="I12" s="48">
        <v>1.9926</v>
      </c>
      <c r="J12" s="49">
        <v>1.9457</v>
      </c>
      <c r="K12" s="49">
        <v>1.7862</v>
      </c>
      <c r="L12" s="49">
        <v>1.7397</v>
      </c>
      <c r="M12" s="50">
        <v>1.4876</v>
      </c>
      <c r="N12" s="14"/>
      <c r="O12" s="32" t="s">
        <v>25</v>
      </c>
      <c r="P12" s="18"/>
      <c r="Q12" s="17"/>
      <c r="R12" s="49"/>
    </row>
    <row r="13" spans="1:27">
      <c r="A13" s="1" t="s">
        <v>27</v>
      </c>
      <c r="B13" s="7">
        <v>1.9578</v>
      </c>
      <c r="C13" s="48">
        <v>1.8987</v>
      </c>
      <c r="D13" s="7">
        <v>1.875</v>
      </c>
      <c r="E13" s="48">
        <v>2.0792</v>
      </c>
      <c r="F13" s="48">
        <v>2.135</v>
      </c>
      <c r="G13" s="48">
        <v>2.1484</v>
      </c>
      <c r="H13" s="48">
        <v>2.2275</v>
      </c>
      <c r="I13" s="48">
        <v>2.3015</v>
      </c>
      <c r="J13" s="49">
        <v>2.3302</v>
      </c>
      <c r="K13" s="49">
        <v>2.387</v>
      </c>
      <c r="L13" s="49">
        <v>2.1556</v>
      </c>
      <c r="M13" s="50">
        <v>2.1086</v>
      </c>
      <c r="N13" s="14"/>
      <c r="O13" s="32" t="s">
        <v>27</v>
      </c>
      <c r="P13" s="48">
        <v>2.1434</v>
      </c>
      <c r="Q13" s="49">
        <v>1.9358</v>
      </c>
    </row>
    <row r="14" spans="1:27">
      <c r="A14" s="1" t="s">
        <v>28</v>
      </c>
      <c r="B14" s="7">
        <v>1.66</v>
      </c>
      <c r="C14" s="48">
        <v>1.63</v>
      </c>
      <c r="D14" s="48">
        <v>1.62</v>
      </c>
      <c r="E14" s="48">
        <v>1.69</v>
      </c>
      <c r="F14" s="48">
        <v>1.68</v>
      </c>
      <c r="G14" s="48">
        <v>1.67</v>
      </c>
      <c r="H14" s="48">
        <v>1.77</v>
      </c>
      <c r="I14" s="48">
        <v>1.79</v>
      </c>
      <c r="J14" s="49">
        <v>1.62</v>
      </c>
      <c r="K14" s="49">
        <v>1.65</v>
      </c>
      <c r="L14" s="49">
        <v>1.69</v>
      </c>
      <c r="M14" s="50">
        <v>1.59</v>
      </c>
      <c r="N14" s="14"/>
      <c r="O14" s="32" t="s">
        <v>28</v>
      </c>
      <c r="P14" s="48">
        <v>1.63</v>
      </c>
      <c r="Q14" s="49">
        <v>1.66</v>
      </c>
    </row>
    <row r="15" spans="1:27">
      <c r="A15" s="1" t="s">
        <v>29</v>
      </c>
      <c r="B15" s="7">
        <v>1.7061</v>
      </c>
      <c r="C15" s="48">
        <v>1.6619</v>
      </c>
      <c r="D15" s="48">
        <v>1.6619</v>
      </c>
      <c r="E15" s="48">
        <v>1.6847</v>
      </c>
      <c r="F15" s="48">
        <v>1.6749</v>
      </c>
      <c r="G15" s="48">
        <v>1.6945</v>
      </c>
      <c r="H15" s="48">
        <v>1.7004</v>
      </c>
      <c r="I15" s="48">
        <v>1.7159</v>
      </c>
      <c r="J15" s="49">
        <v>1.7592</v>
      </c>
      <c r="K15" s="49">
        <v>1.785</v>
      </c>
      <c r="L15" s="49">
        <v>1.8351</v>
      </c>
      <c r="M15" s="50">
        <v>1.8347</v>
      </c>
      <c r="N15" s="14"/>
      <c r="O15" s="32" t="s">
        <v>29</v>
      </c>
      <c r="P15" s="48">
        <v>1.7414</v>
      </c>
      <c r="Q15" s="49">
        <v>1.6901</v>
      </c>
    </row>
    <row r="16" spans="1:27">
      <c r="A16" s="1" t="s">
        <v>30</v>
      </c>
      <c r="B16" s="7">
        <v>1.5246</v>
      </c>
      <c r="C16" s="48">
        <v>1.5584</v>
      </c>
      <c r="D16" s="48">
        <v>1.524</v>
      </c>
      <c r="E16" s="48">
        <v>1.5885</v>
      </c>
      <c r="F16" s="48">
        <v>1.5179</v>
      </c>
      <c r="G16" s="48">
        <v>1.5267</v>
      </c>
      <c r="H16" s="48">
        <v>1.566</v>
      </c>
      <c r="I16" s="48">
        <v>1.5229</v>
      </c>
      <c r="J16" s="49">
        <v>1.5203</v>
      </c>
      <c r="K16" s="49">
        <v>1.5114</v>
      </c>
      <c r="L16" s="49">
        <v>1.5152</v>
      </c>
      <c r="M16" s="50">
        <v>1.501</v>
      </c>
      <c r="N16" s="14"/>
      <c r="O16" s="32" t="s">
        <v>30</v>
      </c>
      <c r="P16" s="48">
        <v>1.5026</v>
      </c>
      <c r="Q16" s="49">
        <v>1.5975</v>
      </c>
    </row>
    <row r="17" spans="1:27">
      <c r="A17" s="1" t="s">
        <v>31</v>
      </c>
      <c r="B17" s="7">
        <v>1.45</v>
      </c>
      <c r="C17" s="48">
        <v>1.43</v>
      </c>
      <c r="D17" s="48">
        <v>1.29</v>
      </c>
      <c r="E17" s="48">
        <v>1.32</v>
      </c>
      <c r="F17" s="48">
        <v>1.37</v>
      </c>
      <c r="G17" s="48">
        <v>1.35</v>
      </c>
      <c r="H17" s="48">
        <v>1.36</v>
      </c>
      <c r="I17" s="48">
        <v>1.42</v>
      </c>
      <c r="J17" s="49">
        <v>1.38</v>
      </c>
      <c r="K17" s="49">
        <v>1.34</v>
      </c>
      <c r="L17" s="49">
        <v>1.39</v>
      </c>
      <c r="M17" s="50">
        <v>1.38</v>
      </c>
      <c r="N17" s="14"/>
      <c r="O17" s="32" t="s">
        <v>31</v>
      </c>
      <c r="P17" s="48">
        <v>1.38</v>
      </c>
      <c r="Q17" s="49">
        <v>1.39</v>
      </c>
    </row>
    <row r="18" spans="1:27">
      <c r="A18" s="1" t="s">
        <v>32</v>
      </c>
      <c r="B18" s="7">
        <v>2.82</v>
      </c>
      <c r="C18" s="48">
        <v>2.52</v>
      </c>
      <c r="D18" s="48">
        <v>2.5</v>
      </c>
      <c r="E18" s="48">
        <v>2.57</v>
      </c>
      <c r="F18" s="48">
        <v>3.14</v>
      </c>
      <c r="G18" s="48">
        <v>3.11</v>
      </c>
      <c r="H18" s="48">
        <v>3.5</v>
      </c>
      <c r="I18" s="48">
        <v>3.83</v>
      </c>
      <c r="J18" s="49">
        <v>3.84</v>
      </c>
      <c r="K18" s="49">
        <v>4.4</v>
      </c>
      <c r="L18" s="49">
        <v>2.27</v>
      </c>
      <c r="M18" s="50">
        <v>2.36</v>
      </c>
      <c r="N18" s="14"/>
      <c r="O18" s="32" t="s">
        <v>32</v>
      </c>
      <c r="P18" s="48">
        <v>1.79</v>
      </c>
      <c r="Q18" s="51">
        <v>2.45</v>
      </c>
    </row>
    <row r="19" spans="1:27">
      <c r="A19" s="1" t="s">
        <v>33</v>
      </c>
      <c r="B19" s="7">
        <v>1.5654</v>
      </c>
      <c r="C19" s="48">
        <v>1.5262</v>
      </c>
      <c r="D19" s="48">
        <v>1.4511</v>
      </c>
      <c r="E19" s="48">
        <v>1.3448</v>
      </c>
      <c r="F19" s="48">
        <v>1.3267</v>
      </c>
      <c r="G19" s="48">
        <v>1.3297</v>
      </c>
      <c r="H19" s="48">
        <v>1.3312</v>
      </c>
      <c r="I19" s="48">
        <v>1.3549</v>
      </c>
      <c r="J19" s="49">
        <v>1.367</v>
      </c>
      <c r="K19" s="49">
        <v>1.4265</v>
      </c>
      <c r="L19" s="49">
        <v>1.451</v>
      </c>
      <c r="M19" s="50">
        <v>1.4743</v>
      </c>
      <c r="N19" s="14"/>
      <c r="O19" s="32" t="s">
        <v>33</v>
      </c>
      <c r="P19" s="48">
        <v>1.466</v>
      </c>
      <c r="Q19" s="49">
        <v>1.4516</v>
      </c>
    </row>
    <row r="20" spans="1:27">
      <c r="A20" s="1" t="s">
        <v>40</v>
      </c>
      <c r="B20" s="7">
        <v>2.64</v>
      </c>
      <c r="C20" s="48">
        <v>2.51</v>
      </c>
      <c r="D20" s="48">
        <v>2.29</v>
      </c>
      <c r="E20" s="48">
        <v>2.14</v>
      </c>
      <c r="F20" s="48">
        <v>1.97</v>
      </c>
      <c r="G20" s="48">
        <v>1.95</v>
      </c>
      <c r="H20" s="48">
        <v>1.87</v>
      </c>
      <c r="I20" s="48">
        <v>1.79</v>
      </c>
      <c r="J20" s="49">
        <v>1.58</v>
      </c>
      <c r="K20">
        <v>0</v>
      </c>
      <c r="L20" s="49">
        <v>1.53</v>
      </c>
      <c r="M20" s="50">
        <v>1.53</v>
      </c>
      <c r="N20" s="14"/>
      <c r="O20" s="32" t="s">
        <v>40</v>
      </c>
      <c r="P20" s="18"/>
      <c r="Q20" s="17"/>
    </row>
    <row r="21" spans="1:27">
      <c r="A21" s="1" t="s">
        <v>42</v>
      </c>
      <c r="B21" s="7">
        <v>1.77</v>
      </c>
      <c r="C21" s="48">
        <v>1.72</v>
      </c>
      <c r="D21" s="48">
        <v>1.65</v>
      </c>
      <c r="E21" s="48">
        <v>1.64</v>
      </c>
      <c r="F21" s="48">
        <v>1.6</v>
      </c>
      <c r="G21" s="48">
        <v>1.38</v>
      </c>
      <c r="H21" s="48">
        <v>1.32</v>
      </c>
      <c r="I21" s="48">
        <v>1.31</v>
      </c>
      <c r="J21" s="49">
        <v>1.33</v>
      </c>
      <c r="K21" s="49">
        <v>1.27</v>
      </c>
      <c r="L21" s="49">
        <v>1.27</v>
      </c>
      <c r="M21" s="50">
        <v>1.25</v>
      </c>
      <c r="N21" s="14"/>
      <c r="O21" s="32" t="s">
        <v>42</v>
      </c>
      <c r="P21" s="48">
        <v>1.3</v>
      </c>
      <c r="Q21" s="49">
        <v>1.28</v>
      </c>
    </row>
    <row r="22" spans="1:27">
      <c r="A22" s="1" t="s">
        <v>43</v>
      </c>
      <c r="B22" s="7">
        <v>1.76</v>
      </c>
      <c r="C22" s="48">
        <v>1.75</v>
      </c>
      <c r="D22" s="48">
        <v>1.75</v>
      </c>
      <c r="E22" s="48">
        <v>1.63</v>
      </c>
      <c r="F22" s="48">
        <v>1.74</v>
      </c>
      <c r="G22" s="48">
        <v>1.76</v>
      </c>
      <c r="H22" s="48">
        <v>1.78</v>
      </c>
      <c r="I22" s="48">
        <v>1.76</v>
      </c>
      <c r="J22" s="49">
        <v>1.75</v>
      </c>
      <c r="K22" s="49">
        <v>1.66</v>
      </c>
      <c r="L22" s="49">
        <v>1.66</v>
      </c>
      <c r="M22" s="50">
        <v>1.68</v>
      </c>
      <c r="N22" s="14"/>
      <c r="O22" s="32" t="s">
        <v>43</v>
      </c>
      <c r="P22" s="48">
        <v>1.82</v>
      </c>
      <c r="Q22" s="49">
        <v>1.78</v>
      </c>
    </row>
    <row r="23" spans="1:27">
      <c r="A23" s="1" t="s">
        <v>44</v>
      </c>
      <c r="B23" s="7">
        <v>1.33</v>
      </c>
      <c r="C23" s="48">
        <v>1.36</v>
      </c>
      <c r="D23" s="48">
        <v>1.25</v>
      </c>
      <c r="E23" s="48">
        <v>1.27</v>
      </c>
      <c r="F23" s="48">
        <v>1.28</v>
      </c>
      <c r="G23" s="48">
        <v>1.3</v>
      </c>
      <c r="H23" s="48">
        <v>1.3</v>
      </c>
      <c r="I23" s="48">
        <v>1.36</v>
      </c>
      <c r="J23" s="49">
        <v>1.58</v>
      </c>
      <c r="K23" s="49">
        <v>1.63</v>
      </c>
      <c r="L23" s="49">
        <v>1.84</v>
      </c>
      <c r="M23" s="50">
        <v>2.04</v>
      </c>
      <c r="N23" s="14"/>
      <c r="O23" s="32" t="s">
        <v>44</v>
      </c>
      <c r="P23" s="48">
        <v>1.51</v>
      </c>
      <c r="Q23" s="49">
        <v>1.52</v>
      </c>
    </row>
    <row r="24" spans="1:27">
      <c r="A24" s="1" t="s">
        <v>45</v>
      </c>
      <c r="B24" s="7">
        <v>1.7103</v>
      </c>
      <c r="C24" s="48">
        <v>1.7103</v>
      </c>
      <c r="D24" s="48">
        <v>1.7103</v>
      </c>
      <c r="E24" s="48">
        <v>1.7063</v>
      </c>
      <c r="F24" s="48">
        <v>1.7104</v>
      </c>
      <c r="G24" s="48">
        <v>1.7654</v>
      </c>
      <c r="H24" s="48">
        <v>1.7549</v>
      </c>
      <c r="I24" s="48">
        <v>1.7806</v>
      </c>
      <c r="J24" s="49">
        <v>1.9227</v>
      </c>
      <c r="K24" s="49">
        <v>1.7185</v>
      </c>
      <c r="L24" s="3" t="s">
        <v>573</v>
      </c>
      <c r="M24" s="50">
        <v>1.7825</v>
      </c>
      <c r="N24" s="14"/>
      <c r="O24" s="32" t="s">
        <v>45</v>
      </c>
      <c r="P24" s="48">
        <v>1.7186</v>
      </c>
    </row>
    <row r="25" spans="1:27">
      <c r="A25" s="1" t="s">
        <v>51</v>
      </c>
      <c r="B25" s="7">
        <v>2.04</v>
      </c>
      <c r="C25" s="48">
        <v>1.87</v>
      </c>
      <c r="D25" s="48">
        <v>1.88</v>
      </c>
      <c r="E25" s="48">
        <v>1.8</v>
      </c>
      <c r="F25" s="48">
        <v>1.82</v>
      </c>
      <c r="G25" s="48">
        <v>1.87</v>
      </c>
      <c r="H25" s="48">
        <v>1.87</v>
      </c>
      <c r="I25" s="48">
        <v>1.92</v>
      </c>
      <c r="J25" s="49">
        <v>1.92</v>
      </c>
      <c r="K25" s="49">
        <v>1.95</v>
      </c>
      <c r="L25" s="49">
        <v>1.99</v>
      </c>
      <c r="M25" s="50">
        <v>2</v>
      </c>
      <c r="N25" s="14"/>
      <c r="O25" s="32" t="s">
        <v>51</v>
      </c>
      <c r="P25" s="48">
        <v>2.1</v>
      </c>
      <c r="Q25" s="49">
        <v>1.99</v>
      </c>
    </row>
    <row r="26" spans="1:27">
      <c r="A26" s="1" t="s">
        <v>52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12">
        <v>0</v>
      </c>
      <c r="N26" s="14"/>
      <c r="O26" s="32" t="s">
        <v>52</v>
      </c>
      <c r="P26" s="3">
        <v>0</v>
      </c>
      <c r="Q26">
        <v>0</v>
      </c>
    </row>
    <row r="27" spans="1:27">
      <c r="A27" s="1" t="s">
        <v>53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12">
        <v>0</v>
      </c>
      <c r="N27" s="14"/>
      <c r="O27" s="35" t="s">
        <v>53</v>
      </c>
      <c r="P27" s="3">
        <v>0</v>
      </c>
      <c r="Q27">
        <v>0</v>
      </c>
    </row>
    <row r="28" spans="1:27">
      <c r="A28" s="1" t="s">
        <v>55</v>
      </c>
      <c r="B28" s="7">
        <v>1.1113</v>
      </c>
      <c r="C28" s="48">
        <v>1.2624</v>
      </c>
      <c r="D28" s="48">
        <v>1.2092</v>
      </c>
      <c r="E28" s="48">
        <v>1.17</v>
      </c>
      <c r="F28" s="48">
        <v>1.1777</v>
      </c>
      <c r="G28" s="48">
        <v>1.246</v>
      </c>
      <c r="H28" s="48">
        <v>1.4368</v>
      </c>
      <c r="I28" s="48">
        <v>1.4462</v>
      </c>
      <c r="J28" s="49">
        <v>1.4222</v>
      </c>
      <c r="K28" s="49">
        <v>1.4251</v>
      </c>
      <c r="L28" s="49">
        <v>1.4129</v>
      </c>
      <c r="M28" s="50">
        <v>1.4058</v>
      </c>
      <c r="N28" s="14"/>
      <c r="O28" s="32" t="s">
        <v>55</v>
      </c>
      <c r="P28" s="48">
        <v>1.4159</v>
      </c>
      <c r="Q28" s="49">
        <v>1.4248</v>
      </c>
    </row>
    <row r="29" spans="1:27">
      <c r="A29" s="1" t="s">
        <v>65</v>
      </c>
      <c r="B29" s="7">
        <v>1.7589</v>
      </c>
      <c r="C29" s="48">
        <v>1.7526</v>
      </c>
      <c r="D29" s="48">
        <v>1.682</v>
      </c>
      <c r="E29" s="48">
        <v>1.6802</v>
      </c>
      <c r="F29" s="48">
        <v>1.7135</v>
      </c>
      <c r="G29" s="48">
        <v>1.7118</v>
      </c>
      <c r="H29" s="48">
        <v>1.6508</v>
      </c>
      <c r="I29" s="48">
        <v>1.7226</v>
      </c>
      <c r="J29" s="49">
        <v>1.7339</v>
      </c>
      <c r="K29" s="49">
        <v>1.7596</v>
      </c>
      <c r="L29" s="49">
        <v>1.6969</v>
      </c>
      <c r="M29" s="50">
        <v>1.6022</v>
      </c>
      <c r="N29" s="14"/>
      <c r="O29" s="32" t="s">
        <v>65</v>
      </c>
      <c r="P29" s="48">
        <v>1.598</v>
      </c>
      <c r="Q29" s="49">
        <v>1.5835</v>
      </c>
    </row>
    <row r="30" spans="1:27">
      <c r="A30" s="1" t="s">
        <v>66</v>
      </c>
      <c r="B30" s="7">
        <v>1.6421</v>
      </c>
      <c r="C30" s="48">
        <v>1.6789</v>
      </c>
      <c r="D30" s="48">
        <v>1.6712</v>
      </c>
      <c r="E30" s="48">
        <v>1.7427</v>
      </c>
      <c r="F30" s="48">
        <v>1.7115</v>
      </c>
      <c r="G30" s="48">
        <v>1.7449</v>
      </c>
      <c r="H30" s="48">
        <v>1.6936</v>
      </c>
      <c r="I30" s="3" t="s">
        <v>574</v>
      </c>
      <c r="J30" s="49">
        <v>1.6814</v>
      </c>
      <c r="K30" s="49">
        <v>1.6531</v>
      </c>
      <c r="L30" s="3" t="s">
        <v>575</v>
      </c>
      <c r="M30" s="50">
        <v>1.6488</v>
      </c>
      <c r="N30" s="14"/>
      <c r="O30" s="32" t="s">
        <v>66</v>
      </c>
      <c r="P30" s="48">
        <v>1.6924</v>
      </c>
      <c r="Q30" s="49">
        <v>1.6426</v>
      </c>
    </row>
    <row r="31" spans="1:27">
      <c r="A31" s="1" t="s">
        <v>67</v>
      </c>
      <c r="B31" s="7">
        <v>1.7205</v>
      </c>
      <c r="C31" s="48">
        <v>1.6012</v>
      </c>
      <c r="D31" s="48">
        <v>1.5855</v>
      </c>
      <c r="E31" s="48">
        <v>1.7052</v>
      </c>
      <c r="F31" s="48">
        <v>1.5708</v>
      </c>
      <c r="G31" s="48">
        <v>1.6418</v>
      </c>
      <c r="H31" s="48">
        <v>1.6612</v>
      </c>
      <c r="I31" s="48">
        <v>1.6624</v>
      </c>
      <c r="J31" s="49">
        <v>1.5083</v>
      </c>
      <c r="K31" s="49">
        <v>1.5332</v>
      </c>
      <c r="L31" s="49">
        <v>1.6655</v>
      </c>
      <c r="M31" s="50">
        <v>1.9303</v>
      </c>
      <c r="N31" s="14"/>
      <c r="O31" s="32" t="s">
        <v>67</v>
      </c>
      <c r="P31" s="48">
        <v>1.8927</v>
      </c>
      <c r="Q31" s="49">
        <v>1.9347</v>
      </c>
    </row>
    <row r="32" spans="1:27">
      <c r="A32" s="1" t="s">
        <v>68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12">
        <v>0</v>
      </c>
      <c r="N32" s="14"/>
      <c r="O32" s="32" t="s">
        <v>68</v>
      </c>
      <c r="P32" s="3">
        <v>0</v>
      </c>
      <c r="Q32">
        <v>0</v>
      </c>
    </row>
    <row r="33" spans="1:27">
      <c r="A33" s="1" t="s">
        <v>69</v>
      </c>
      <c r="B33" s="7">
        <v>1.5112</v>
      </c>
      <c r="C33" s="48">
        <v>1.5327</v>
      </c>
      <c r="D33" s="48">
        <v>1.5181</v>
      </c>
      <c r="E33" s="48">
        <v>1.5249</v>
      </c>
      <c r="F33" s="48">
        <v>1.5156</v>
      </c>
      <c r="G33" s="48">
        <v>1.5177</v>
      </c>
      <c r="H33" s="48">
        <v>1.5197</v>
      </c>
      <c r="I33" s="48">
        <v>1.5416</v>
      </c>
      <c r="J33" s="49">
        <v>1.532</v>
      </c>
      <c r="K33" s="49">
        <v>1.5385</v>
      </c>
      <c r="L33" s="49">
        <v>1.5375</v>
      </c>
      <c r="M33" s="50">
        <v>1.5483</v>
      </c>
      <c r="N33" s="14"/>
      <c r="O33" s="32" t="s">
        <v>69</v>
      </c>
      <c r="P33" s="48">
        <v>1.5861</v>
      </c>
      <c r="Q33" s="49">
        <v>1.5892</v>
      </c>
    </row>
    <row r="34" spans="1:27">
      <c r="A34" s="1" t="s">
        <v>70</v>
      </c>
      <c r="B34" s="7">
        <v>1.28</v>
      </c>
      <c r="C34" s="48">
        <v>1.31</v>
      </c>
      <c r="D34" s="48">
        <v>1.42</v>
      </c>
      <c r="E34" s="48">
        <v>1.37</v>
      </c>
      <c r="F34" s="48">
        <v>1.39</v>
      </c>
      <c r="G34" s="48">
        <v>1.41</v>
      </c>
      <c r="H34" s="48">
        <v>1.42</v>
      </c>
      <c r="I34" s="48">
        <v>1.46</v>
      </c>
      <c r="J34" s="49">
        <v>1.49</v>
      </c>
      <c r="K34" s="49">
        <v>1.48</v>
      </c>
      <c r="L34" s="49">
        <v>1.47</v>
      </c>
      <c r="M34" s="50">
        <v>1.45</v>
      </c>
      <c r="N34" s="14"/>
      <c r="O34" s="32" t="s">
        <v>70</v>
      </c>
      <c r="P34" s="48">
        <v>1.47</v>
      </c>
      <c r="Q34" s="49">
        <v>1.4</v>
      </c>
    </row>
    <row r="35" spans="1:27">
      <c r="A35" s="1" t="s">
        <v>71</v>
      </c>
      <c r="B35" s="7">
        <v>1.6648</v>
      </c>
      <c r="C35" s="48">
        <v>1.5763</v>
      </c>
      <c r="D35" s="48">
        <v>1.5952</v>
      </c>
      <c r="E35" s="48">
        <v>1.6991</v>
      </c>
      <c r="F35" s="48">
        <v>1.7739</v>
      </c>
      <c r="G35" s="48">
        <v>1.8465</v>
      </c>
      <c r="H35" s="48">
        <v>1.8196</v>
      </c>
      <c r="I35" s="48">
        <v>1.5053</v>
      </c>
      <c r="J35" s="49">
        <v>1.5391</v>
      </c>
      <c r="K35" s="49">
        <v>1.585</v>
      </c>
      <c r="L35" s="49">
        <v>1.6079</v>
      </c>
      <c r="M35" s="50">
        <v>1.6531</v>
      </c>
      <c r="N35" s="14"/>
      <c r="O35" s="32" t="s">
        <v>71</v>
      </c>
      <c r="P35" s="48">
        <v>1.5909</v>
      </c>
      <c r="Q35" s="49">
        <v>1.597</v>
      </c>
    </row>
    <row r="36" spans="1:27">
      <c r="A36" s="1" t="s">
        <v>72</v>
      </c>
      <c r="B36" s="7">
        <v>2.373</v>
      </c>
      <c r="C36" s="48">
        <v>2.2173</v>
      </c>
      <c r="D36" s="48">
        <v>2.383</v>
      </c>
      <c r="E36" s="48">
        <v>2.3504</v>
      </c>
      <c r="F36" s="48">
        <v>2.4267</v>
      </c>
      <c r="G36" s="48">
        <v>2.3946</v>
      </c>
      <c r="H36" s="48">
        <v>2.258</v>
      </c>
      <c r="I36" s="48">
        <v>2.4069</v>
      </c>
      <c r="J36" s="49">
        <v>2.155</v>
      </c>
      <c r="K36" s="49">
        <v>2.4709</v>
      </c>
      <c r="L36" s="49">
        <v>2.1634</v>
      </c>
      <c r="M36" s="50">
        <v>2.1507</v>
      </c>
      <c r="N36" s="14"/>
      <c r="O36" s="32" t="s">
        <v>72</v>
      </c>
      <c r="P36" s="48">
        <v>1.8405</v>
      </c>
      <c r="Q36" s="51">
        <v>2.0726</v>
      </c>
    </row>
    <row r="37" spans="1:27">
      <c r="A37" s="1" t="s">
        <v>73</v>
      </c>
      <c r="B37" s="7">
        <v>1.8318</v>
      </c>
      <c r="C37" s="48">
        <v>1.7112</v>
      </c>
      <c r="D37" s="48">
        <v>1.7543</v>
      </c>
      <c r="E37" s="48">
        <v>1.8507</v>
      </c>
      <c r="F37" s="48">
        <v>2.0233</v>
      </c>
      <c r="G37" s="48">
        <v>2.1268</v>
      </c>
      <c r="H37" s="48">
        <v>2.0826</v>
      </c>
      <c r="I37" s="48">
        <v>2.1446</v>
      </c>
      <c r="J37" s="49">
        <v>2.1492</v>
      </c>
      <c r="K37" s="49">
        <v>2.231</v>
      </c>
      <c r="L37" s="49">
        <v>2.1624</v>
      </c>
      <c r="M37" s="50">
        <v>2.1762</v>
      </c>
      <c r="N37" s="14"/>
      <c r="O37" s="32" t="s">
        <v>73</v>
      </c>
      <c r="P37" s="48">
        <v>2.0264</v>
      </c>
      <c r="Q37" s="49">
        <v>1.9808</v>
      </c>
    </row>
    <row r="38" spans="1:27">
      <c r="A38" s="1" t="s">
        <v>82</v>
      </c>
      <c r="B38" s="7">
        <v>1.5366</v>
      </c>
      <c r="C38" s="48">
        <v>1.4947</v>
      </c>
      <c r="D38" s="48">
        <v>1.5159</v>
      </c>
      <c r="E38" s="48">
        <v>1.485</v>
      </c>
      <c r="F38" s="48">
        <v>1.5428</v>
      </c>
      <c r="G38" s="48">
        <v>1.539</v>
      </c>
      <c r="H38" s="48">
        <v>1.4622</v>
      </c>
      <c r="I38" s="48">
        <v>1.5038</v>
      </c>
      <c r="J38" s="49">
        <v>1.6032</v>
      </c>
      <c r="K38" s="49">
        <v>1.64</v>
      </c>
      <c r="L38" s="49">
        <v>1.67</v>
      </c>
      <c r="M38" s="50">
        <v>1.7</v>
      </c>
      <c r="N38" s="14"/>
      <c r="O38" s="32" t="s">
        <v>82</v>
      </c>
      <c r="P38" s="48">
        <v>1.83</v>
      </c>
      <c r="Q38" s="49">
        <v>1.83</v>
      </c>
    </row>
    <row r="39" spans="1:27">
      <c r="A39" s="1" t="s">
        <v>83</v>
      </c>
      <c r="B39" s="7">
        <v>1.5518</v>
      </c>
      <c r="C39" s="48">
        <v>1.5165</v>
      </c>
      <c r="D39" s="48">
        <v>1.7139</v>
      </c>
      <c r="E39" s="48">
        <v>1.7089</v>
      </c>
      <c r="F39" s="48">
        <v>1.6608</v>
      </c>
      <c r="G39" s="48">
        <v>1.6568</v>
      </c>
      <c r="H39" s="48">
        <v>1.5928</v>
      </c>
      <c r="I39" s="48">
        <v>1.5185</v>
      </c>
      <c r="J39" s="49">
        <v>1.5119</v>
      </c>
      <c r="K39" s="49">
        <v>1.5255</v>
      </c>
      <c r="L39" s="49">
        <v>1.5042</v>
      </c>
      <c r="M39" s="50">
        <v>1.5155</v>
      </c>
      <c r="N39" s="14"/>
      <c r="O39" s="32" t="s">
        <v>83</v>
      </c>
      <c r="P39" s="48">
        <v>1.5214</v>
      </c>
      <c r="Q39" s="49">
        <v>1.5025</v>
      </c>
    </row>
    <row r="40" spans="1:27">
      <c r="A40" s="1" t="s">
        <v>84</v>
      </c>
      <c r="B40" s="7">
        <v>1.7635</v>
      </c>
      <c r="C40" s="48">
        <v>1.7276</v>
      </c>
      <c r="D40" s="48">
        <v>1.7478</v>
      </c>
      <c r="E40" s="48">
        <v>1.7554</v>
      </c>
      <c r="F40" s="48">
        <v>1.7324</v>
      </c>
      <c r="G40" s="48">
        <v>1.7056</v>
      </c>
      <c r="H40" s="48">
        <v>1.6986</v>
      </c>
      <c r="I40" s="48">
        <v>1.6911</v>
      </c>
      <c r="J40" s="49">
        <v>1.7029</v>
      </c>
      <c r="K40" s="49">
        <v>1.7504</v>
      </c>
      <c r="L40" s="49">
        <v>1.7524</v>
      </c>
      <c r="M40" s="50">
        <v>1.7398</v>
      </c>
      <c r="N40" s="14"/>
      <c r="O40" s="32" t="s">
        <v>84</v>
      </c>
      <c r="P40" s="48">
        <v>1.7763</v>
      </c>
      <c r="Q40" s="49">
        <v>1.769</v>
      </c>
    </row>
    <row r="41" spans="1:27">
      <c r="A41" s="1" t="s">
        <v>85</v>
      </c>
      <c r="B41" s="7">
        <v>1.3</v>
      </c>
      <c r="C41" s="48">
        <v>1.12</v>
      </c>
      <c r="D41" s="48">
        <v>1.13</v>
      </c>
      <c r="E41" s="48">
        <v>1.25</v>
      </c>
      <c r="F41" s="48">
        <v>0.62</v>
      </c>
      <c r="G41" s="48">
        <v>1.51</v>
      </c>
      <c r="H41" s="48">
        <v>1.54</v>
      </c>
      <c r="I41" s="48">
        <v>1.51</v>
      </c>
      <c r="J41" s="49">
        <v>1.68</v>
      </c>
      <c r="K41" s="49">
        <v>2.78</v>
      </c>
      <c r="L41" s="49">
        <v>2.19</v>
      </c>
      <c r="M41" s="50">
        <v>1.56</v>
      </c>
      <c r="N41" s="14"/>
      <c r="O41" s="32" t="s">
        <v>85</v>
      </c>
      <c r="P41" s="3"/>
      <c r="Q41" s="49">
        <v>1.5212</v>
      </c>
    </row>
    <row r="42" spans="1:27">
      <c r="A42" s="1" t="s">
        <v>88</v>
      </c>
      <c r="B42" s="7" t="s">
        <v>576</v>
      </c>
      <c r="C42" s="48">
        <v>2.6</v>
      </c>
      <c r="D42" s="48">
        <v>2.56</v>
      </c>
      <c r="E42" s="48">
        <v>2.33</v>
      </c>
      <c r="F42" s="48">
        <v>1.45</v>
      </c>
      <c r="G42" s="48">
        <v>1.44</v>
      </c>
      <c r="H42" s="48">
        <v>1.43</v>
      </c>
      <c r="I42" s="48">
        <v>1.41</v>
      </c>
      <c r="J42" s="49">
        <v>1.41</v>
      </c>
      <c r="K42" s="49">
        <v>1.78</v>
      </c>
      <c r="L42" s="49">
        <v>1.78</v>
      </c>
      <c r="M42" s="50">
        <v>1.69</v>
      </c>
      <c r="N42" s="14"/>
      <c r="O42" s="32" t="s">
        <v>88</v>
      </c>
      <c r="P42" s="48">
        <v>1.67</v>
      </c>
      <c r="Q42" s="49">
        <v>1.4909</v>
      </c>
    </row>
    <row r="43" spans="1:27">
      <c r="A43" s="1" t="s">
        <v>89</v>
      </c>
      <c r="B43" s="7">
        <v>2.92</v>
      </c>
      <c r="C43" s="48">
        <v>2.98</v>
      </c>
      <c r="D43" s="48">
        <v>2.28</v>
      </c>
      <c r="E43" s="48">
        <v>3.11</v>
      </c>
      <c r="F43" s="48">
        <v>3.28</v>
      </c>
      <c r="G43" s="48">
        <v>4.31</v>
      </c>
      <c r="H43" s="48">
        <v>4.86</v>
      </c>
      <c r="I43" s="48">
        <v>2.78</v>
      </c>
      <c r="J43" s="49">
        <v>2.87</v>
      </c>
      <c r="K43" s="49">
        <v>3.17</v>
      </c>
      <c r="L43" s="3" t="s">
        <v>577</v>
      </c>
      <c r="M43" s="50">
        <v>3.27</v>
      </c>
      <c r="N43" s="14"/>
      <c r="O43" s="32" t="s">
        <v>89</v>
      </c>
      <c r="P43" s="48">
        <v>3.47</v>
      </c>
      <c r="Q43" s="51">
        <v>3.85</v>
      </c>
    </row>
    <row r="44" spans="1:27">
      <c r="A44" s="1" t="s">
        <v>90</v>
      </c>
      <c r="B44" s="7">
        <v>2.1053</v>
      </c>
      <c r="C44" s="3" t="s">
        <v>578</v>
      </c>
      <c r="D44" s="48">
        <v>1.35</v>
      </c>
      <c r="E44" s="48">
        <v>1.0816</v>
      </c>
      <c r="F44" s="48">
        <v>1.5302</v>
      </c>
      <c r="G44" s="48">
        <v>1.5765</v>
      </c>
      <c r="H44" s="48">
        <v>1.6373</v>
      </c>
      <c r="I44" s="48">
        <v>1.5045</v>
      </c>
      <c r="J44" s="49">
        <v>1.4795</v>
      </c>
      <c r="K44" s="49">
        <v>1.6497</v>
      </c>
      <c r="L44" s="49">
        <v>1.1245</v>
      </c>
      <c r="M44" s="4" t="s">
        <v>579</v>
      </c>
      <c r="N44" s="14"/>
      <c r="O44" s="32" t="s">
        <v>90</v>
      </c>
      <c r="P44" s="48">
        <v>1.0645</v>
      </c>
    </row>
    <row r="45" spans="1:27">
      <c r="A45" s="1" t="s">
        <v>91</v>
      </c>
      <c r="B45" s="7">
        <v>1.63</v>
      </c>
      <c r="C45" s="48">
        <v>1.65</v>
      </c>
      <c r="D45" s="48">
        <v>1.65</v>
      </c>
      <c r="E45" s="48">
        <v>1.65</v>
      </c>
      <c r="F45" s="48">
        <v>1.68</v>
      </c>
      <c r="G45" s="48">
        <v>1.72</v>
      </c>
      <c r="H45" s="48">
        <v>1.7</v>
      </c>
      <c r="I45" s="48">
        <v>1.65</v>
      </c>
      <c r="J45" s="49">
        <v>1.6</v>
      </c>
      <c r="K45" s="49">
        <v>1.63</v>
      </c>
      <c r="L45" s="49">
        <v>1.68</v>
      </c>
      <c r="M45" s="50">
        <v>1.75</v>
      </c>
      <c r="N45" s="14"/>
      <c r="O45" s="32" t="s">
        <v>91</v>
      </c>
      <c r="P45" s="48">
        <v>1.76</v>
      </c>
      <c r="Q45" s="49">
        <v>1.72</v>
      </c>
    </row>
    <row r="46" spans="1:27">
      <c r="A46" s="1" t="s">
        <v>100</v>
      </c>
      <c r="B46" s="7">
        <v>1.47</v>
      </c>
      <c r="C46" s="48">
        <v>1.44</v>
      </c>
      <c r="D46" s="48">
        <v>1.53</v>
      </c>
      <c r="E46" s="48">
        <v>1.51</v>
      </c>
      <c r="F46" s="3" t="s">
        <v>580</v>
      </c>
      <c r="G46" s="48">
        <v>1.54</v>
      </c>
      <c r="H46" s="48">
        <v>1.5</v>
      </c>
      <c r="I46" s="48">
        <v>1.45</v>
      </c>
      <c r="J46" s="49">
        <v>1.42</v>
      </c>
      <c r="K46" s="49">
        <v>1.42</v>
      </c>
      <c r="L46" s="49">
        <v>1.4</v>
      </c>
      <c r="M46" s="50">
        <v>1.38</v>
      </c>
      <c r="N46" s="14"/>
      <c r="O46" s="32" t="s">
        <v>100</v>
      </c>
      <c r="P46" s="48">
        <v>1.41</v>
      </c>
      <c r="Q46" s="49">
        <v>1.34</v>
      </c>
    </row>
    <row r="47" spans="1:27">
      <c r="A47" s="1" t="s">
        <v>101</v>
      </c>
      <c r="B47" s="7">
        <v>1.6446</v>
      </c>
      <c r="C47" s="48">
        <v>1.4786</v>
      </c>
      <c r="D47" s="3" t="s">
        <v>581</v>
      </c>
      <c r="E47" s="48">
        <v>1.4401</v>
      </c>
      <c r="F47" s="48">
        <v>1.5668</v>
      </c>
      <c r="G47" s="48">
        <v>1.4295</v>
      </c>
      <c r="H47" s="48">
        <v>1.5382</v>
      </c>
      <c r="I47" s="48">
        <v>1.587</v>
      </c>
      <c r="J47" s="49">
        <v>1.8847</v>
      </c>
      <c r="K47" s="49">
        <v>2.0323</v>
      </c>
      <c r="L47" s="49">
        <v>2.0827</v>
      </c>
      <c r="M47" s="50">
        <v>1.651</v>
      </c>
      <c r="N47" s="14"/>
      <c r="O47" s="32" t="s">
        <v>101</v>
      </c>
      <c r="P47" s="48">
        <v>1.6711</v>
      </c>
      <c r="Q47" s="49">
        <v>1.4738</v>
      </c>
    </row>
    <row r="48" spans="1:27">
      <c r="A48" s="1" t="s">
        <v>102</v>
      </c>
      <c r="B48" s="7">
        <v>2.03</v>
      </c>
      <c r="C48" s="48">
        <v>1.8</v>
      </c>
      <c r="D48" s="48">
        <v>1.81</v>
      </c>
      <c r="E48" s="48">
        <v>1.82</v>
      </c>
      <c r="F48" s="48">
        <v>1.99</v>
      </c>
      <c r="G48" s="48">
        <v>1.95</v>
      </c>
      <c r="H48" s="48">
        <v>1.62</v>
      </c>
      <c r="I48" s="48">
        <v>1.89</v>
      </c>
      <c r="J48" s="49">
        <v>2.05</v>
      </c>
      <c r="K48" s="49">
        <v>1.62</v>
      </c>
      <c r="L48" s="49">
        <v>1.58</v>
      </c>
      <c r="M48" s="50">
        <v>1.54</v>
      </c>
      <c r="N48" s="14"/>
      <c r="O48" s="32" t="s">
        <v>102</v>
      </c>
      <c r="P48" s="48">
        <v>1.66</v>
      </c>
    </row>
    <row r="49" spans="1:27">
      <c r="A49" s="1" t="s">
        <v>108</v>
      </c>
      <c r="B49" s="48">
        <v>2.0042</v>
      </c>
      <c r="C49" s="48">
        <v>1.9922</v>
      </c>
      <c r="D49" s="48">
        <v>1.9617</v>
      </c>
      <c r="E49" s="48">
        <v>1.9618</v>
      </c>
      <c r="F49" s="48">
        <v>1.8876</v>
      </c>
      <c r="G49" s="48">
        <v>1.8559</v>
      </c>
      <c r="H49" s="48">
        <v>1.8458</v>
      </c>
      <c r="I49" s="48">
        <v>1.8284</v>
      </c>
      <c r="J49" s="49">
        <v>1.8284</v>
      </c>
      <c r="K49" s="49">
        <v>1.7861</v>
      </c>
      <c r="L49" s="49">
        <v>1.8434</v>
      </c>
      <c r="M49" s="50">
        <v>1.8305</v>
      </c>
      <c r="N49" s="14"/>
      <c r="O49" s="32" t="s">
        <v>108</v>
      </c>
      <c r="P49" s="3" t="s">
        <v>582</v>
      </c>
      <c r="Q49" s="49">
        <v>1.9506</v>
      </c>
    </row>
    <row r="50" spans="1:27">
      <c r="A50" s="1" t="s">
        <v>109</v>
      </c>
      <c r="B50" s="7">
        <v>1.3843</v>
      </c>
      <c r="C50" s="48">
        <v>1.3731</v>
      </c>
      <c r="D50" s="48">
        <v>1.3741</v>
      </c>
      <c r="E50" s="3" t="s">
        <v>583</v>
      </c>
      <c r="F50" s="48">
        <v>1.4429</v>
      </c>
      <c r="G50" s="48">
        <v>1.4595</v>
      </c>
      <c r="H50" s="48">
        <v>1.3257</v>
      </c>
      <c r="I50" s="48">
        <v>1.3124</v>
      </c>
      <c r="J50" s="49">
        <v>1.343</v>
      </c>
      <c r="K50" s="49">
        <v>1.3446</v>
      </c>
      <c r="L50" s="49">
        <v>1.3582</v>
      </c>
      <c r="M50" s="50">
        <v>2.2754</v>
      </c>
      <c r="N50" s="14"/>
      <c r="O50" s="32" t="s">
        <v>109</v>
      </c>
      <c r="P50" s="48">
        <v>2.1798</v>
      </c>
      <c r="Q50" s="51">
        <v>2.0747</v>
      </c>
    </row>
    <row r="51" spans="1:27">
      <c r="A51" s="1" t="s">
        <v>110</v>
      </c>
      <c r="B51" s="7">
        <v>1.5719</v>
      </c>
      <c r="C51" s="48">
        <v>1.5539</v>
      </c>
      <c r="D51" s="48">
        <v>1.5923</v>
      </c>
      <c r="E51" s="48">
        <v>1.5863</v>
      </c>
      <c r="F51" s="48">
        <v>1.6178</v>
      </c>
      <c r="G51" s="48">
        <v>1.7121</v>
      </c>
      <c r="H51" s="3" t="s">
        <v>584</v>
      </c>
      <c r="I51" s="48">
        <v>1.6788</v>
      </c>
      <c r="J51" s="49">
        <v>1.6077</v>
      </c>
      <c r="K51" s="49">
        <v>1.6412</v>
      </c>
      <c r="L51" s="49">
        <v>1.5725</v>
      </c>
      <c r="M51" s="50">
        <v>1.5867</v>
      </c>
      <c r="N51" s="14"/>
      <c r="O51" s="32" t="s">
        <v>110</v>
      </c>
      <c r="P51" s="3" t="s">
        <v>585</v>
      </c>
      <c r="Q51" s="49">
        <v>1.5029</v>
      </c>
    </row>
    <row r="52" spans="1:27">
      <c r="A52" s="1" t="s">
        <v>111</v>
      </c>
      <c r="B52" s="7">
        <v>1.23</v>
      </c>
      <c r="C52" s="48">
        <v>1.21</v>
      </c>
      <c r="D52" s="48">
        <v>1.21</v>
      </c>
      <c r="E52" s="48">
        <v>1.2</v>
      </c>
      <c r="F52" s="48">
        <v>1.19</v>
      </c>
      <c r="G52" s="48">
        <v>1.2</v>
      </c>
      <c r="H52" s="48">
        <v>1.19</v>
      </c>
      <c r="I52" s="48">
        <v>1.18</v>
      </c>
      <c r="J52" s="49">
        <v>1.18</v>
      </c>
      <c r="K52" s="49">
        <v>1.21</v>
      </c>
      <c r="L52" s="49">
        <v>1.21</v>
      </c>
      <c r="M52" s="50">
        <v>1.2</v>
      </c>
      <c r="N52" s="14"/>
      <c r="O52" s="32" t="s">
        <v>111</v>
      </c>
      <c r="P52" s="48">
        <v>1.17</v>
      </c>
      <c r="Q52" s="49">
        <v>1.16</v>
      </c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>
      <c r="A53" s="15" t="s">
        <v>112</v>
      </c>
      <c r="B53" s="28"/>
      <c r="C53" s="18"/>
      <c r="D53" s="18"/>
      <c r="E53" s="18"/>
      <c r="F53" s="18"/>
      <c r="G53" s="18"/>
      <c r="H53" s="18"/>
      <c r="I53" s="18"/>
      <c r="J53" s="17"/>
      <c r="K53" s="17"/>
      <c r="L53" s="17"/>
      <c r="M53" s="34"/>
      <c r="N53" s="14"/>
      <c r="O53" s="35" t="s">
        <v>112</v>
      </c>
      <c r="P53" s="18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>
      <c r="A54" s="15" t="s">
        <v>114</v>
      </c>
      <c r="B54" s="28"/>
      <c r="C54" s="18"/>
      <c r="D54" s="18"/>
      <c r="E54" s="18"/>
      <c r="F54" s="18"/>
      <c r="G54" s="18"/>
      <c r="H54" s="18"/>
      <c r="I54" s="18"/>
      <c r="J54" s="17"/>
      <c r="K54" s="17"/>
      <c r="L54" s="17"/>
      <c r="M54" s="34"/>
      <c r="N54" s="14"/>
      <c r="O54" s="35" t="s">
        <v>114</v>
      </c>
      <c r="P54" s="18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>
      <c r="A55" s="1" t="s">
        <v>116</v>
      </c>
      <c r="B55" s="7">
        <v>2.02</v>
      </c>
      <c r="C55" s="48">
        <v>2.01</v>
      </c>
      <c r="D55" s="48">
        <v>1.89</v>
      </c>
      <c r="E55" s="48">
        <v>1.9</v>
      </c>
      <c r="F55" s="48">
        <v>2.04</v>
      </c>
      <c r="G55" s="48">
        <v>2.05</v>
      </c>
      <c r="H55" s="48">
        <v>1.95</v>
      </c>
      <c r="I55" s="48">
        <v>1.93</v>
      </c>
      <c r="J55" s="49">
        <v>1.92</v>
      </c>
      <c r="K55" s="49">
        <v>1.91</v>
      </c>
      <c r="L55" s="49">
        <v>1.72</v>
      </c>
      <c r="M55" s="50">
        <v>1.73</v>
      </c>
      <c r="N55" s="14"/>
      <c r="O55" s="32" t="s">
        <v>116</v>
      </c>
      <c r="P55" s="48">
        <v>1.64</v>
      </c>
      <c r="Q55" s="49">
        <v>1.65</v>
      </c>
    </row>
    <row r="56" spans="1:27">
      <c r="A56" s="1" t="s">
        <v>117</v>
      </c>
      <c r="B56" s="7">
        <v>1.66</v>
      </c>
      <c r="C56" s="48">
        <v>1.62</v>
      </c>
      <c r="D56" s="48">
        <v>1.55</v>
      </c>
      <c r="E56" s="48">
        <v>1.54</v>
      </c>
      <c r="F56" s="48">
        <v>1.64</v>
      </c>
      <c r="G56" s="48">
        <v>1.6</v>
      </c>
      <c r="H56" s="48">
        <v>1.59</v>
      </c>
      <c r="I56" s="48">
        <v>1.57</v>
      </c>
      <c r="J56" s="49">
        <v>1.51</v>
      </c>
      <c r="K56" s="49">
        <v>1.52</v>
      </c>
      <c r="L56" s="49">
        <v>1.51</v>
      </c>
      <c r="M56" s="50">
        <v>1.9</v>
      </c>
      <c r="N56" s="14"/>
      <c r="O56" s="32" t="s">
        <v>117</v>
      </c>
      <c r="P56" s="48">
        <v>1.88</v>
      </c>
      <c r="Q56" s="49">
        <v>1.79</v>
      </c>
    </row>
    <row r="57" spans="1:27">
      <c r="A57" s="1" t="s">
        <v>118</v>
      </c>
      <c r="B57" s="7">
        <v>1.65</v>
      </c>
      <c r="C57" s="48">
        <v>1.64</v>
      </c>
      <c r="D57" s="48">
        <v>1.59</v>
      </c>
      <c r="E57" s="48">
        <v>1.55</v>
      </c>
      <c r="F57" s="48">
        <v>1.56</v>
      </c>
      <c r="G57" s="48">
        <v>1.56</v>
      </c>
      <c r="H57" s="48">
        <v>1.57</v>
      </c>
      <c r="I57" s="48">
        <v>1.57</v>
      </c>
      <c r="J57" s="49">
        <v>1.58</v>
      </c>
      <c r="K57" s="49">
        <v>1.6</v>
      </c>
      <c r="L57" s="49">
        <v>1.64</v>
      </c>
      <c r="M57" s="50">
        <v>1.67</v>
      </c>
      <c r="N57" s="14"/>
      <c r="O57" s="32" t="s">
        <v>118</v>
      </c>
      <c r="P57" s="48">
        <v>1.63</v>
      </c>
      <c r="Q57" s="49">
        <v>1.66</v>
      </c>
    </row>
    <row r="58" spans="1:27">
      <c r="A58" s="1" t="s">
        <v>119</v>
      </c>
      <c r="B58" s="7">
        <v>1.5217</v>
      </c>
      <c r="C58" s="48">
        <v>1.4535</v>
      </c>
      <c r="D58" s="48">
        <v>1.6036</v>
      </c>
      <c r="E58" s="48">
        <v>1.5322</v>
      </c>
      <c r="F58" s="48">
        <v>2.1858</v>
      </c>
      <c r="G58" s="48">
        <v>1.9075</v>
      </c>
      <c r="H58" s="48">
        <v>1.9087</v>
      </c>
      <c r="I58" s="48">
        <v>2.0305</v>
      </c>
      <c r="J58" s="49">
        <v>2.1912</v>
      </c>
      <c r="K58" s="49">
        <v>2.296</v>
      </c>
      <c r="L58" s="49">
        <v>2.5212</v>
      </c>
      <c r="M58" s="50">
        <v>2.3564</v>
      </c>
      <c r="N58" s="14"/>
      <c r="O58" s="32" t="s">
        <v>119</v>
      </c>
      <c r="P58" s="48">
        <v>2.3008</v>
      </c>
      <c r="Q58" s="51">
        <v>2.474</v>
      </c>
    </row>
    <row r="59" spans="1:27">
      <c r="A59" s="1" t="s">
        <v>120</v>
      </c>
      <c r="B59" s="7">
        <v>1.3823</v>
      </c>
      <c r="C59" s="48">
        <v>1.3873</v>
      </c>
      <c r="D59" s="48">
        <v>1.3833</v>
      </c>
      <c r="E59" s="48">
        <v>1.3926</v>
      </c>
      <c r="F59" s="48">
        <v>1.3627</v>
      </c>
      <c r="G59" s="48">
        <v>1.3291</v>
      </c>
      <c r="H59" s="48">
        <v>1.3033</v>
      </c>
      <c r="I59" s="48">
        <v>1.3343</v>
      </c>
      <c r="J59" s="49">
        <v>1.3592</v>
      </c>
      <c r="K59" s="49">
        <v>1.3302</v>
      </c>
      <c r="L59" s="49">
        <v>1.3452</v>
      </c>
      <c r="M59" s="50">
        <v>1.302</v>
      </c>
      <c r="N59" s="14"/>
      <c r="O59" s="32" t="s">
        <v>120</v>
      </c>
      <c r="P59" s="48">
        <v>1.3185</v>
      </c>
      <c r="Q59" s="49">
        <v>1.2784</v>
      </c>
    </row>
    <row r="60" spans="1:27">
      <c r="A60" s="1" t="s">
        <v>121</v>
      </c>
      <c r="B60" s="7">
        <v>2.02</v>
      </c>
      <c r="C60" s="48">
        <v>2.02</v>
      </c>
      <c r="D60" s="3" t="s">
        <v>586</v>
      </c>
      <c r="E60" s="48">
        <v>2.01</v>
      </c>
      <c r="F60" s="48">
        <v>1.96</v>
      </c>
      <c r="G60" s="48">
        <v>1.95</v>
      </c>
      <c r="H60" s="48">
        <v>2.04</v>
      </c>
      <c r="I60" s="48">
        <v>2</v>
      </c>
      <c r="J60" t="s">
        <v>535</v>
      </c>
      <c r="K60" s="49">
        <v>2.02</v>
      </c>
      <c r="L60" s="49">
        <v>2.1</v>
      </c>
      <c r="M60" s="50">
        <v>2.09</v>
      </c>
      <c r="N60" s="14"/>
      <c r="O60" s="32" t="s">
        <v>121</v>
      </c>
      <c r="P60" s="48">
        <v>2.08</v>
      </c>
      <c r="Q60" s="51">
        <v>2.04</v>
      </c>
    </row>
    <row r="61" spans="1:27">
      <c r="A61" s="1" t="s">
        <v>122</v>
      </c>
      <c r="B61" s="7">
        <v>2.499</v>
      </c>
      <c r="C61" s="48">
        <v>2.773</v>
      </c>
      <c r="D61" s="48">
        <v>2.506</v>
      </c>
      <c r="E61" s="48">
        <v>2.506</v>
      </c>
      <c r="F61" s="48">
        <v>2.574</v>
      </c>
      <c r="G61" s="48">
        <v>2.545</v>
      </c>
      <c r="H61" s="48">
        <v>2.627</v>
      </c>
      <c r="I61" s="48">
        <v>2.705</v>
      </c>
      <c r="J61" s="49">
        <v>2.717</v>
      </c>
      <c r="K61" s="49">
        <v>2.705</v>
      </c>
      <c r="L61" s="49">
        <v>2.771</v>
      </c>
      <c r="M61" s="50">
        <v>2.398</v>
      </c>
      <c r="N61" s="14"/>
      <c r="O61" s="32" t="s">
        <v>122</v>
      </c>
      <c r="P61" s="48">
        <v>2.058</v>
      </c>
      <c r="Q61" s="51">
        <v>2.18</v>
      </c>
    </row>
    <row r="62" spans="1:27">
      <c r="A62" s="1" t="s">
        <v>132</v>
      </c>
      <c r="B62" s="7">
        <v>1.67</v>
      </c>
      <c r="C62" s="49">
        <v>1.69</v>
      </c>
      <c r="D62" s="48">
        <v>1.76</v>
      </c>
      <c r="E62" s="48">
        <v>2.11</v>
      </c>
      <c r="F62" s="48">
        <v>2.07</v>
      </c>
      <c r="G62" s="48">
        <v>2.04</v>
      </c>
      <c r="H62" s="48">
        <v>1.97</v>
      </c>
      <c r="I62" s="48">
        <v>1.95</v>
      </c>
      <c r="J62" s="49">
        <v>2.02</v>
      </c>
      <c r="K62" s="49">
        <v>2</v>
      </c>
      <c r="L62" s="49">
        <v>1.72</v>
      </c>
      <c r="M62" s="50">
        <v>1.73</v>
      </c>
      <c r="N62" s="14"/>
      <c r="O62" s="32" t="s">
        <v>132</v>
      </c>
      <c r="P62" s="48">
        <v>1.72</v>
      </c>
      <c r="Q62" s="49">
        <v>1.72</v>
      </c>
    </row>
    <row r="63" spans="1:27">
      <c r="A63" s="1" t="s">
        <v>142</v>
      </c>
      <c r="B63" s="7">
        <v>0</v>
      </c>
      <c r="C63" s="3">
        <v>0</v>
      </c>
      <c r="D63" s="3">
        <v>0</v>
      </c>
      <c r="E63" s="3">
        <v>0</v>
      </c>
      <c r="F63" s="48">
        <v>1.11</v>
      </c>
      <c r="G63" s="48">
        <v>1.12</v>
      </c>
      <c r="H63" s="48">
        <v>1.12</v>
      </c>
      <c r="I63" s="48">
        <v>1.13</v>
      </c>
      <c r="J63" s="49">
        <v>1.15</v>
      </c>
      <c r="K63" s="49">
        <v>1.15</v>
      </c>
      <c r="L63" s="49">
        <v>1.15</v>
      </c>
      <c r="M63" s="50">
        <v>1.15</v>
      </c>
      <c r="N63" s="14"/>
      <c r="O63" s="32" t="s">
        <v>142</v>
      </c>
      <c r="P63" s="48">
        <v>1.16</v>
      </c>
      <c r="Q63" s="49">
        <v>1.14</v>
      </c>
    </row>
    <row r="64" spans="1:27">
      <c r="A64" s="1" t="s">
        <v>143</v>
      </c>
      <c r="B64" s="7">
        <v>2.4805</v>
      </c>
      <c r="C64" s="48">
        <v>2.0946</v>
      </c>
      <c r="D64" s="48">
        <v>1.8547</v>
      </c>
      <c r="E64" s="48">
        <v>1.8609</v>
      </c>
      <c r="F64" s="48">
        <v>1.8886</v>
      </c>
      <c r="G64" s="48">
        <v>1.9569</v>
      </c>
      <c r="H64" s="48">
        <v>1.9569</v>
      </c>
      <c r="I64" s="48">
        <v>2.0474</v>
      </c>
      <c r="J64" s="49">
        <v>2.0767</v>
      </c>
      <c r="K64" s="49">
        <v>2.0919</v>
      </c>
      <c r="L64" s="49">
        <v>2.0497</v>
      </c>
      <c r="M64" s="50">
        <v>1.9051</v>
      </c>
      <c r="N64" s="14"/>
      <c r="O64" s="32" t="s">
        <v>143</v>
      </c>
      <c r="P64" s="48">
        <v>2.11</v>
      </c>
      <c r="Q64" s="49">
        <v>1.8837</v>
      </c>
    </row>
    <row r="65" spans="1:27">
      <c r="A65" s="1" t="s">
        <v>144</v>
      </c>
      <c r="B65" s="7" t="s">
        <v>587</v>
      </c>
      <c r="C65" s="48">
        <v>1.3075</v>
      </c>
      <c r="D65" s="49">
        <v>1.2518</v>
      </c>
      <c r="E65" s="48">
        <v>1.2477</v>
      </c>
      <c r="F65" s="3" t="s">
        <v>588</v>
      </c>
      <c r="G65" s="48">
        <v>1.2862</v>
      </c>
      <c r="H65" s="48">
        <v>1.2654</v>
      </c>
      <c r="I65" s="48">
        <v>1.2301</v>
      </c>
      <c r="J65" s="49">
        <v>1.3029</v>
      </c>
      <c r="K65" s="49">
        <v>1.279</v>
      </c>
      <c r="L65" s="49">
        <v>1.2981</v>
      </c>
      <c r="M65" s="50">
        <v>1.3369</v>
      </c>
      <c r="N65" s="14"/>
      <c r="O65" s="32" t="s">
        <v>144</v>
      </c>
      <c r="P65" s="48">
        <v>1.2938</v>
      </c>
      <c r="Q65" s="49">
        <v>1.291</v>
      </c>
    </row>
    <row r="66" spans="1:27">
      <c r="A66" s="1" t="s">
        <v>145</v>
      </c>
      <c r="B66" s="7">
        <v>1.38</v>
      </c>
      <c r="C66" s="48">
        <v>1.4</v>
      </c>
      <c r="D66" s="48">
        <v>1.39</v>
      </c>
      <c r="E66" s="48">
        <v>1.37</v>
      </c>
      <c r="F66" s="48">
        <v>1.37</v>
      </c>
      <c r="G66" s="48">
        <v>1.4</v>
      </c>
      <c r="H66" s="48">
        <v>1.4</v>
      </c>
      <c r="I66" s="48">
        <v>1.47</v>
      </c>
      <c r="J66" s="49">
        <v>1.38</v>
      </c>
      <c r="K66" s="49">
        <v>1.42</v>
      </c>
      <c r="L66" s="49">
        <v>1.35</v>
      </c>
      <c r="M66" s="50">
        <v>1.39</v>
      </c>
      <c r="N66" s="14"/>
      <c r="O66" s="32" t="s">
        <v>145</v>
      </c>
      <c r="P66" s="48">
        <v>1.45</v>
      </c>
      <c r="Q66" s="49">
        <v>1.49</v>
      </c>
    </row>
    <row r="67" spans="1:27">
      <c r="A67" s="1" t="s">
        <v>146</v>
      </c>
      <c r="B67" s="7">
        <v>1.56</v>
      </c>
      <c r="C67" s="48">
        <v>1.57</v>
      </c>
      <c r="D67" s="48">
        <v>1.55</v>
      </c>
      <c r="E67" s="48">
        <v>1.56</v>
      </c>
      <c r="F67" s="48">
        <v>1.55</v>
      </c>
      <c r="G67" s="48">
        <v>1.55</v>
      </c>
      <c r="H67" s="48">
        <v>1.55</v>
      </c>
      <c r="I67" s="48">
        <v>1.54</v>
      </c>
      <c r="J67" s="49">
        <v>1.55</v>
      </c>
      <c r="K67" s="49">
        <v>1.54</v>
      </c>
      <c r="L67" s="49">
        <v>1.55</v>
      </c>
      <c r="M67" s="50">
        <v>1.54</v>
      </c>
      <c r="N67" s="14"/>
      <c r="O67" s="32" t="s">
        <v>146</v>
      </c>
      <c r="P67" s="48">
        <v>1.54</v>
      </c>
      <c r="Q67" s="49">
        <v>1.6</v>
      </c>
    </row>
    <row r="68" spans="1:27">
      <c r="A68" s="1" t="s">
        <v>147</v>
      </c>
      <c r="B68" s="7">
        <v>1.54</v>
      </c>
      <c r="C68" s="48">
        <v>1.68</v>
      </c>
      <c r="D68" s="48">
        <v>1.7</v>
      </c>
      <c r="E68" s="48">
        <v>1.54</v>
      </c>
      <c r="F68" s="48">
        <v>1.55</v>
      </c>
      <c r="G68" s="48">
        <v>1.6</v>
      </c>
      <c r="H68" s="48">
        <v>1.51</v>
      </c>
      <c r="I68" s="48">
        <v>1.52</v>
      </c>
      <c r="J68" s="49">
        <v>1.51</v>
      </c>
      <c r="K68" s="49">
        <v>1.54</v>
      </c>
      <c r="L68" s="49">
        <v>1.55</v>
      </c>
      <c r="M68" s="50">
        <v>1.55</v>
      </c>
      <c r="N68" s="14"/>
      <c r="O68" s="32" t="s">
        <v>147</v>
      </c>
      <c r="P68" s="48">
        <v>1.5</v>
      </c>
      <c r="Q68" s="2">
        <v>1.54</v>
      </c>
    </row>
    <row r="69" spans="1:27">
      <c r="A69" s="1" t="s">
        <v>148</v>
      </c>
      <c r="B69" s="7">
        <v>146.19</v>
      </c>
      <c r="C69" s="48">
        <v>1.4837</v>
      </c>
      <c r="D69" s="48">
        <v>1.4822</v>
      </c>
      <c r="E69" s="48">
        <v>1.4194</v>
      </c>
      <c r="F69" s="48">
        <v>1.4482</v>
      </c>
      <c r="G69" s="48">
        <v>1.4361</v>
      </c>
      <c r="H69" s="48">
        <v>1.4826</v>
      </c>
      <c r="I69" s="48">
        <v>1.4854</v>
      </c>
      <c r="J69" s="49">
        <v>2.4036</v>
      </c>
      <c r="K69" s="49">
        <v>1.5044</v>
      </c>
      <c r="L69" s="49">
        <v>1.5046</v>
      </c>
      <c r="M69" s="50">
        <v>1.524</v>
      </c>
      <c r="N69" s="14"/>
      <c r="O69" s="32" t="s">
        <v>148</v>
      </c>
      <c r="P69" s="48">
        <v>1.5024</v>
      </c>
      <c r="Q69" s="49">
        <v>1.4871</v>
      </c>
    </row>
    <row r="70" spans="1:27">
      <c r="A70" s="1" t="s">
        <v>149</v>
      </c>
      <c r="B70" s="7">
        <v>1.28</v>
      </c>
      <c r="C70" s="48">
        <v>1.72</v>
      </c>
      <c r="D70" s="48">
        <v>1.46</v>
      </c>
      <c r="E70" s="48">
        <v>1.55</v>
      </c>
      <c r="F70" s="48">
        <v>1.58</v>
      </c>
      <c r="G70" s="48">
        <v>1.59</v>
      </c>
      <c r="H70" s="48">
        <v>1.59</v>
      </c>
      <c r="I70" s="48">
        <v>1.49</v>
      </c>
      <c r="J70" s="49">
        <v>1.47</v>
      </c>
      <c r="K70" s="49">
        <v>1.17</v>
      </c>
      <c r="L70" s="49">
        <v>1.16</v>
      </c>
      <c r="M70" s="4" t="s">
        <v>589</v>
      </c>
      <c r="N70" s="14"/>
      <c r="O70" s="32" t="s">
        <v>149</v>
      </c>
      <c r="P70" s="48">
        <v>1.15</v>
      </c>
      <c r="Q70" s="49">
        <v>1.15</v>
      </c>
    </row>
    <row r="71" spans="1:27">
      <c r="A71" s="1" t="s">
        <v>150</v>
      </c>
      <c r="B71" s="7">
        <v>1.51</v>
      </c>
      <c r="C71" s="48">
        <v>1.5</v>
      </c>
      <c r="D71" s="48">
        <v>1.48</v>
      </c>
      <c r="E71" s="48">
        <v>1.46</v>
      </c>
      <c r="F71" s="48">
        <v>1.48</v>
      </c>
      <c r="G71" s="48">
        <v>1.5</v>
      </c>
      <c r="H71" s="48">
        <v>1.48</v>
      </c>
      <c r="I71" s="48">
        <v>1.46</v>
      </c>
      <c r="J71" s="49">
        <v>1.41</v>
      </c>
      <c r="K71" s="49">
        <v>1.39</v>
      </c>
      <c r="L71" s="49">
        <v>1.42</v>
      </c>
      <c r="M71" s="50">
        <v>1.36</v>
      </c>
      <c r="N71" s="14"/>
      <c r="O71" s="32" t="s">
        <v>150</v>
      </c>
      <c r="P71" s="48">
        <v>1.38</v>
      </c>
      <c r="Q71" s="49">
        <v>1.38</v>
      </c>
    </row>
    <row r="72" spans="1:27">
      <c r="A72" s="1" t="s">
        <v>151</v>
      </c>
      <c r="B72" s="7">
        <v>1.55</v>
      </c>
      <c r="C72" s="48">
        <v>1.61</v>
      </c>
      <c r="D72" s="48">
        <v>1.71</v>
      </c>
      <c r="E72" s="48">
        <v>1.67</v>
      </c>
      <c r="F72" s="48">
        <v>1.72</v>
      </c>
      <c r="G72" s="48">
        <v>1.76</v>
      </c>
      <c r="H72" s="48">
        <v>1.8</v>
      </c>
      <c r="I72" s="48">
        <v>1.85</v>
      </c>
      <c r="J72" s="49">
        <v>1.72</v>
      </c>
      <c r="K72" s="49">
        <v>1.75</v>
      </c>
      <c r="L72" s="49">
        <v>1.81</v>
      </c>
      <c r="M72" s="50">
        <v>1.81</v>
      </c>
      <c r="N72" s="14"/>
      <c r="O72" s="32" t="s">
        <v>151</v>
      </c>
      <c r="P72" s="48">
        <v>1.81</v>
      </c>
      <c r="Q72" s="2">
        <v>1.79</v>
      </c>
    </row>
    <row r="73" spans="1:27">
      <c r="A73" s="1" t="s">
        <v>152</v>
      </c>
      <c r="B73" s="7">
        <v>2.2363</v>
      </c>
      <c r="C73" s="48">
        <v>2.3941</v>
      </c>
      <c r="D73" s="48">
        <v>2.5172</v>
      </c>
      <c r="E73" s="48">
        <v>2.6359</v>
      </c>
      <c r="F73" s="48">
        <v>2.7636</v>
      </c>
      <c r="G73" s="48">
        <v>2.9645</v>
      </c>
      <c r="H73" s="48">
        <v>3.1126</v>
      </c>
      <c r="I73" s="48">
        <v>3.1328</v>
      </c>
      <c r="J73" s="49">
        <v>2.983</v>
      </c>
      <c r="K73" s="49">
        <v>2.8671</v>
      </c>
      <c r="L73" s="49">
        <v>2.7414</v>
      </c>
      <c r="M73" s="50">
        <v>2.5702</v>
      </c>
      <c r="N73" s="14"/>
      <c r="O73" s="32" t="s">
        <v>152</v>
      </c>
      <c r="P73" s="48">
        <v>2.2905</v>
      </c>
      <c r="Q73" s="51">
        <v>2.0923</v>
      </c>
    </row>
    <row r="74" spans="1:27">
      <c r="A74" s="1" t="s">
        <v>153</v>
      </c>
      <c r="B74" s="7">
        <v>1.28</v>
      </c>
      <c r="C74" s="48">
        <v>1.28</v>
      </c>
      <c r="D74" s="48">
        <v>1.28</v>
      </c>
      <c r="E74" s="48">
        <v>1.29</v>
      </c>
      <c r="F74" s="48">
        <v>1.28</v>
      </c>
      <c r="G74" s="48">
        <v>1.28</v>
      </c>
      <c r="H74" s="48">
        <v>1.28</v>
      </c>
      <c r="I74" s="48">
        <v>1.3</v>
      </c>
      <c r="J74" s="49">
        <v>1.31</v>
      </c>
      <c r="K74" s="49">
        <v>1.3</v>
      </c>
      <c r="L74" s="49">
        <v>1.28</v>
      </c>
      <c r="M74" s="50">
        <v>1.28</v>
      </c>
      <c r="N74" s="14"/>
      <c r="O74" s="32" t="s">
        <v>153</v>
      </c>
      <c r="P74" s="48">
        <v>1.16</v>
      </c>
      <c r="Q74" s="49">
        <v>1.15</v>
      </c>
    </row>
    <row r="75" spans="1:27">
      <c r="A75" s="1" t="s">
        <v>154</v>
      </c>
      <c r="B75" s="7">
        <v>1.541</v>
      </c>
      <c r="C75" s="48">
        <v>1.589</v>
      </c>
      <c r="D75" s="48">
        <v>1.535</v>
      </c>
      <c r="E75" s="48">
        <v>1.54</v>
      </c>
      <c r="F75" s="48">
        <v>1.546</v>
      </c>
      <c r="G75" s="48">
        <v>1.596</v>
      </c>
      <c r="H75" s="48">
        <v>1.587</v>
      </c>
      <c r="I75" s="48">
        <v>1.601</v>
      </c>
      <c r="J75" s="49">
        <v>1.651</v>
      </c>
      <c r="K75" s="49">
        <v>1.691</v>
      </c>
      <c r="L75" s="49">
        <v>1.734</v>
      </c>
      <c r="M75" s="50">
        <v>1.681</v>
      </c>
      <c r="N75" s="14"/>
      <c r="O75" s="32" t="s">
        <v>154</v>
      </c>
      <c r="P75" s="48">
        <v>1.593</v>
      </c>
      <c r="Q75" s="49">
        <v>1.641</v>
      </c>
    </row>
    <row r="76" spans="1:27">
      <c r="A76" s="8"/>
      <c r="B76" s="3"/>
      <c r="C76" s="3"/>
      <c r="D76" s="3"/>
      <c r="E76" s="3"/>
      <c r="F76" s="3"/>
      <c r="G76" s="3"/>
      <c r="H76" s="3"/>
      <c r="I76" s="3"/>
      <c r="L76" s="49"/>
      <c r="M76" s="50"/>
      <c r="N76" s="14"/>
      <c r="O76" s="33" t="s">
        <v>538</v>
      </c>
      <c r="P76" s="61">
        <f>Average(P75:P3)</f>
        <v>1.6257940298507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>
      <c r="A77" s="23" t="s">
        <v>156</v>
      </c>
      <c r="B77" s="25"/>
      <c r="C77" s="25"/>
      <c r="D77" s="25"/>
      <c r="E77" s="25"/>
      <c r="F77" s="25"/>
      <c r="G77" s="25"/>
      <c r="H77" s="25"/>
      <c r="I77" s="25"/>
      <c r="J77" s="24"/>
      <c r="K77" s="24"/>
      <c r="L77" s="24"/>
      <c r="M77" s="23"/>
      <c r="N77" s="14"/>
      <c r="O77" s="38" t="s">
        <v>156</v>
      </c>
      <c r="P77" s="3"/>
    </row>
    <row r="78" spans="1:27">
      <c r="A78" s="1" t="s">
        <v>157</v>
      </c>
      <c r="B78" s="57">
        <v>1.3362</v>
      </c>
      <c r="C78" s="57">
        <v>1.3276</v>
      </c>
      <c r="D78" s="57">
        <v>1.3302</v>
      </c>
      <c r="E78" s="57">
        <v>1.2126</v>
      </c>
      <c r="F78" s="57">
        <v>1.1897</v>
      </c>
      <c r="G78" s="57">
        <v>1.1963</v>
      </c>
      <c r="H78" s="57">
        <v>1.1987</v>
      </c>
      <c r="I78" s="57">
        <v>1.205</v>
      </c>
      <c r="J78" s="57">
        <v>1.2126</v>
      </c>
      <c r="K78" s="49">
        <v>1.2175</v>
      </c>
      <c r="L78" s="49">
        <v>1.2152</v>
      </c>
      <c r="M78" s="50">
        <v>1.2127</v>
      </c>
      <c r="N78" s="14"/>
      <c r="O78" s="32" t="s">
        <v>157</v>
      </c>
      <c r="P78" s="48">
        <v>1.2028</v>
      </c>
      <c r="Q78" s="49">
        <v>1.1974</v>
      </c>
    </row>
    <row r="79" spans="1:27">
      <c r="A79" s="1" t="s">
        <v>170</v>
      </c>
      <c r="B79" s="48">
        <v>1.3381</v>
      </c>
      <c r="C79" s="48">
        <v>1.3347</v>
      </c>
      <c r="D79" s="48">
        <v>1.3117</v>
      </c>
      <c r="E79" s="48">
        <v>1.3325</v>
      </c>
      <c r="F79" s="48">
        <v>1.34</v>
      </c>
      <c r="G79" s="48">
        <v>1.3357</v>
      </c>
      <c r="H79" s="48">
        <v>1.3426</v>
      </c>
      <c r="I79" s="48">
        <v>1.3452</v>
      </c>
      <c r="J79" s="49">
        <v>1.3427</v>
      </c>
      <c r="K79" s="49">
        <v>1.2971</v>
      </c>
      <c r="L79" s="49">
        <v>1.2939</v>
      </c>
      <c r="M79" s="49">
        <v>1.2939</v>
      </c>
      <c r="N79" s="14"/>
      <c r="O79" s="32" t="s">
        <v>170</v>
      </c>
      <c r="P79" s="48">
        <v>1.3035</v>
      </c>
      <c r="Q79" s="49">
        <v>1.3092</v>
      </c>
    </row>
    <row r="80" spans="1:27">
      <c r="A80" s="1" t="s">
        <v>183</v>
      </c>
      <c r="B80" s="39">
        <v>1.052</v>
      </c>
      <c r="C80" s="39">
        <v>1.073</v>
      </c>
      <c r="D80" s="59">
        <v>1.078</v>
      </c>
      <c r="E80" s="39">
        <v>1.092</v>
      </c>
      <c r="F80" s="39">
        <v>0.93</v>
      </c>
      <c r="G80" s="59">
        <v>0.973</v>
      </c>
      <c r="H80" s="59">
        <v>0.895</v>
      </c>
      <c r="I80" s="59">
        <v>0.959</v>
      </c>
      <c r="J80" s="59">
        <v>0.977</v>
      </c>
      <c r="K80" s="49">
        <v>0.956</v>
      </c>
      <c r="L80" s="49">
        <v>0.687</v>
      </c>
      <c r="M80" s="49">
        <v>0.904</v>
      </c>
      <c r="N80" s="14"/>
      <c r="O80" s="32" t="s">
        <v>183</v>
      </c>
      <c r="P80" s="48">
        <v>0.921</v>
      </c>
      <c r="Q80" s="49">
        <v>0.904</v>
      </c>
    </row>
    <row r="81" spans="1:27">
      <c r="A81" s="1" t="s">
        <v>196</v>
      </c>
      <c r="B81" s="48">
        <v>1.84</v>
      </c>
      <c r="C81" s="48">
        <v>1.95</v>
      </c>
      <c r="D81" s="48">
        <v>2.04</v>
      </c>
      <c r="E81" s="48">
        <v>1.99</v>
      </c>
      <c r="F81" s="48">
        <v>2.03</v>
      </c>
      <c r="G81" s="48">
        <v>1.94</v>
      </c>
      <c r="H81" s="48">
        <v>1.93</v>
      </c>
      <c r="I81" s="48">
        <v>1.88</v>
      </c>
      <c r="J81" s="49">
        <v>1.91</v>
      </c>
      <c r="K81" s="49">
        <v>1.95</v>
      </c>
      <c r="L81" s="54">
        <v>1.96</v>
      </c>
      <c r="M81" s="49">
        <v>1.94</v>
      </c>
      <c r="N81" s="14"/>
      <c r="O81" s="32" t="s">
        <v>196</v>
      </c>
      <c r="P81" s="48">
        <v>1.92</v>
      </c>
      <c r="Q81" s="49">
        <v>1.85</v>
      </c>
    </row>
    <row r="82" spans="1:27">
      <c r="A82" s="1" t="s">
        <v>209</v>
      </c>
      <c r="B82" s="48">
        <v>3.8627</v>
      </c>
      <c r="C82" s="48">
        <v>3.6821</v>
      </c>
      <c r="D82" s="48">
        <v>3.4871</v>
      </c>
      <c r="E82" s="48">
        <v>3.4871</v>
      </c>
      <c r="F82" s="48">
        <v>3.0884</v>
      </c>
      <c r="G82" s="48">
        <v>3.341</v>
      </c>
      <c r="H82" s="48">
        <v>3.7555</v>
      </c>
      <c r="I82" s="48">
        <v>3.6139</v>
      </c>
      <c r="J82" s="49">
        <v>3.5081</v>
      </c>
      <c r="K82" s="49">
        <v>3.524</v>
      </c>
      <c r="L82" s="49">
        <v>3.4597</v>
      </c>
      <c r="M82" s="49">
        <v>3.4691</v>
      </c>
      <c r="N82" s="14"/>
      <c r="O82" s="32" t="s">
        <v>209</v>
      </c>
      <c r="P82" s="48">
        <v>3.4201</v>
      </c>
      <c r="Q82" s="49">
        <v>3.2376</v>
      </c>
    </row>
    <row r="83" spans="1:27">
      <c r="A83" s="1" t="s">
        <v>222</v>
      </c>
      <c r="B83" s="48">
        <v>1.5594</v>
      </c>
      <c r="C83" s="48">
        <v>1.5203</v>
      </c>
      <c r="D83" s="48">
        <v>1.5922</v>
      </c>
      <c r="E83" s="48">
        <v>1.5922</v>
      </c>
      <c r="F83" s="48">
        <v>1.5286</v>
      </c>
      <c r="G83" s="48">
        <v>1.8666</v>
      </c>
      <c r="H83" s="48">
        <v>1.8207</v>
      </c>
      <c r="I83" s="48">
        <v>1.6489</v>
      </c>
      <c r="J83" s="48">
        <v>1.8157</v>
      </c>
      <c r="K83" s="49">
        <v>1.8619</v>
      </c>
      <c r="L83" s="49">
        <v>1.8198</v>
      </c>
      <c r="M83" s="49">
        <v>1.854</v>
      </c>
      <c r="N83" s="14"/>
      <c r="O83" s="32" t="s">
        <v>222</v>
      </c>
      <c r="P83" s="48">
        <v>1.6153</v>
      </c>
      <c r="Q83" s="49">
        <v>1.5858</v>
      </c>
    </row>
    <row r="84" spans="1:27">
      <c r="A84" s="1" t="s">
        <v>235</v>
      </c>
      <c r="B84" s="48">
        <v>1.5616</v>
      </c>
      <c r="C84" s="48">
        <v>1.4772</v>
      </c>
      <c r="D84" s="48">
        <v>1.4645</v>
      </c>
      <c r="E84" s="48">
        <v>1.4229</v>
      </c>
      <c r="F84" s="48">
        <v>1.401</v>
      </c>
      <c r="G84" s="48">
        <v>1.4123</v>
      </c>
      <c r="H84" s="48">
        <v>1.4417</v>
      </c>
      <c r="I84" s="48">
        <v>1.5789</v>
      </c>
      <c r="J84" s="48">
        <v>1.6432</v>
      </c>
      <c r="K84" s="49">
        <v>1.4459</v>
      </c>
      <c r="L84" s="49">
        <v>1.3996</v>
      </c>
      <c r="M84" s="49">
        <v>1.7728</v>
      </c>
      <c r="N84" s="14"/>
      <c r="O84" s="32" t="s">
        <v>235</v>
      </c>
      <c r="P84" s="48">
        <v>1.6114</v>
      </c>
      <c r="Q84" s="49">
        <v>1.5741</v>
      </c>
    </row>
    <row r="85" spans="1:27">
      <c r="A85" s="1" t="s">
        <v>248</v>
      </c>
      <c r="B85" s="7"/>
      <c r="C85" s="3"/>
      <c r="D85" s="3"/>
      <c r="E85" s="3"/>
      <c r="F85" s="3"/>
      <c r="G85" s="3"/>
      <c r="H85" s="3"/>
      <c r="I85" s="3"/>
      <c r="M85" s="8"/>
      <c r="N85" s="14"/>
      <c r="O85" s="32" t="s">
        <v>248</v>
      </c>
      <c r="P85" s="48">
        <v>4.7682</v>
      </c>
      <c r="Q85" s="49">
        <v>3.8342</v>
      </c>
    </row>
    <row r="86" spans="1:27">
      <c r="A86" s="8"/>
      <c r="B86" s="3"/>
      <c r="C86" s="3"/>
      <c r="D86" s="3"/>
      <c r="E86" s="3"/>
      <c r="F86" s="3"/>
      <c r="G86" s="3"/>
      <c r="H86" s="3"/>
      <c r="I86" s="3"/>
      <c r="M86" s="8"/>
      <c r="N86" s="14"/>
      <c r="O86" s="33" t="s">
        <v>538</v>
      </c>
      <c r="P86" s="61">
        <f>Average(P85:P78)</f>
        <v>2.0952875</v>
      </c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>
      <c r="A87" s="23" t="s">
        <v>249</v>
      </c>
      <c r="B87" s="25"/>
      <c r="C87" s="25"/>
      <c r="D87" s="25"/>
      <c r="E87" s="25"/>
      <c r="F87" s="25"/>
      <c r="G87" s="25"/>
      <c r="H87" s="25"/>
      <c r="I87" s="25"/>
      <c r="J87" s="24"/>
      <c r="K87" s="24"/>
      <c r="L87" s="24"/>
      <c r="M87" s="23"/>
      <c r="N87" s="14"/>
      <c r="O87" s="38" t="s">
        <v>249</v>
      </c>
      <c r="P87" s="3"/>
    </row>
    <row r="88" spans="1:27">
      <c r="A88" s="1" t="s">
        <v>250</v>
      </c>
      <c r="B88" s="7">
        <v>1.118</v>
      </c>
      <c r="C88" s="7">
        <v>0.563</v>
      </c>
      <c r="D88" s="7">
        <v>2.238</v>
      </c>
      <c r="E88" s="7">
        <v>2.154</v>
      </c>
      <c r="F88" s="7">
        <v>2.046</v>
      </c>
      <c r="G88" s="7">
        <v>2.039</v>
      </c>
      <c r="H88" s="7">
        <v>1.993</v>
      </c>
      <c r="I88" s="7">
        <v>1.98</v>
      </c>
      <c r="J88" s="7">
        <v>1.963</v>
      </c>
      <c r="K88" s="7">
        <v>1.981</v>
      </c>
      <c r="L88" s="7">
        <v>1.9067</v>
      </c>
      <c r="M88" s="1">
        <v>1.9905</v>
      </c>
      <c r="N88" s="14"/>
      <c r="O88" s="32" t="s">
        <v>250</v>
      </c>
      <c r="P88" s="7">
        <v>2.0878</v>
      </c>
      <c r="Q88" s="49">
        <v>2.8216</v>
      </c>
    </row>
    <row r="89" spans="1:27" ht="15.28053114822933" customHeight="1">
      <c r="A89" s="1" t="s">
        <v>251</v>
      </c>
      <c r="B89" s="7">
        <v>0.1562</v>
      </c>
      <c r="C89" s="7">
        <v>0.1529</v>
      </c>
      <c r="D89" s="7">
        <v>0.1481</v>
      </c>
      <c r="E89" s="7">
        <v>0.1627</v>
      </c>
      <c r="F89" s="7">
        <v>0.1574</v>
      </c>
      <c r="G89" s="7">
        <v>0.164</v>
      </c>
      <c r="H89" s="7">
        <v>0.171</v>
      </c>
      <c r="I89" s="7">
        <v>0.1895</v>
      </c>
      <c r="J89" s="7">
        <v>0.1895</v>
      </c>
      <c r="K89" s="7">
        <v>0.1782</v>
      </c>
      <c r="L89" s="7">
        <v>0.1783</v>
      </c>
      <c r="M89" s="1">
        <v>0.1758</v>
      </c>
      <c r="N89" s="14"/>
      <c r="O89" s="32" t="s">
        <v>251</v>
      </c>
      <c r="P89" s="7"/>
    </row>
    <row r="90" spans="1:27" ht="15.311216277490075" customHeight="1">
      <c r="A90" s="1" t="s">
        <v>252</v>
      </c>
      <c r="B90" s="7">
        <v>3.88</v>
      </c>
      <c r="C90" s="7">
        <v>3.82</v>
      </c>
      <c r="D90" s="7">
        <v>3.73</v>
      </c>
      <c r="E90" s="7">
        <v>3.64</v>
      </c>
      <c r="F90" s="7">
        <v>3.77</v>
      </c>
      <c r="G90" s="7">
        <v>3.68</v>
      </c>
      <c r="H90" s="7">
        <v>3.58</v>
      </c>
      <c r="I90" s="7">
        <v>3.42</v>
      </c>
      <c r="J90" s="7">
        <v>3.63</v>
      </c>
      <c r="K90" s="7">
        <v>3.46</v>
      </c>
      <c r="L90" s="7">
        <v>3.68</v>
      </c>
      <c r="M90" s="1">
        <v>3.53</v>
      </c>
      <c r="N90" s="14"/>
      <c r="O90" s="32" t="s">
        <v>252</v>
      </c>
      <c r="P90" s="7">
        <v>3.22</v>
      </c>
      <c r="Q90" s="49">
        <v>3.28</v>
      </c>
    </row>
    <row r="91" spans="1:27" ht="16.299011739220685" customHeight="1">
      <c r="A91" s="1" t="s">
        <v>253</v>
      </c>
      <c r="B91" s="7">
        <v>1.3812</v>
      </c>
      <c r="C91" s="7">
        <v>1.3593</v>
      </c>
      <c r="D91" s="7">
        <v>1.3702</v>
      </c>
      <c r="E91" s="7">
        <v>1.3987</v>
      </c>
      <c r="F91" s="7">
        <v>1.3889</v>
      </c>
      <c r="G91" s="7">
        <v>1.3653</v>
      </c>
      <c r="H91" s="7">
        <v>1.3346</v>
      </c>
      <c r="I91" s="7"/>
      <c r="J91" s="7">
        <v>1.3279</v>
      </c>
      <c r="K91" s="7">
        <v>1.3094</v>
      </c>
      <c r="L91" s="7">
        <v>1.3171</v>
      </c>
      <c r="M91" s="1">
        <v>1.3204</v>
      </c>
      <c r="N91" s="14"/>
      <c r="O91" s="32" t="s">
        <v>253</v>
      </c>
      <c r="P91" s="7">
        <v>1.2977</v>
      </c>
    </row>
    <row r="92" spans="1:27" ht="14.817298198168677" customHeight="1">
      <c r="A92" s="1" t="s">
        <v>254</v>
      </c>
      <c r="B92" s="7">
        <v>1.612</v>
      </c>
      <c r="C92" s="7">
        <v>1.447</v>
      </c>
      <c r="D92" s="7">
        <v>1.417</v>
      </c>
      <c r="E92" s="7">
        <v>1.475</v>
      </c>
      <c r="F92" s="7">
        <v>1.542</v>
      </c>
      <c r="G92" s="7">
        <v>1.269</v>
      </c>
      <c r="H92" s="7">
        <v>1.114</v>
      </c>
      <c r="I92" s="7">
        <v>1.314</v>
      </c>
      <c r="J92" s="7">
        <v>1.606</v>
      </c>
      <c r="K92" s="7">
        <v>1.427</v>
      </c>
      <c r="L92" s="7">
        <v>1.481</v>
      </c>
      <c r="M92" s="1">
        <v>1.4113</v>
      </c>
      <c r="N92" s="14"/>
      <c r="O92" s="32" t="s">
        <v>254</v>
      </c>
      <c r="P92" s="7">
        <v>1.4073</v>
      </c>
      <c r="Q92" s="49">
        <v>1.3907</v>
      </c>
    </row>
    <row r="93" spans="1:27" ht="15.805114008355304" customHeight="1">
      <c r="A93" s="1" t="s">
        <v>255</v>
      </c>
      <c r="B93" s="7">
        <v>0.15117</v>
      </c>
      <c r="C93" s="7">
        <v>0.14486</v>
      </c>
      <c r="D93" s="7">
        <v>0.13327</v>
      </c>
      <c r="E93" s="7">
        <v>0.12336</v>
      </c>
      <c r="F93" s="7">
        <v>0.12216</v>
      </c>
      <c r="G93" s="7">
        <v>0.11424</v>
      </c>
      <c r="H93" s="7">
        <v>0.12025</v>
      </c>
      <c r="I93" s="7">
        <v>0.12724</v>
      </c>
      <c r="J93" s="7">
        <v>0.14824</v>
      </c>
      <c r="K93" s="7">
        <v>0.14191</v>
      </c>
      <c r="L93" s="7">
        <v>0.13991</v>
      </c>
      <c r="M93" s="1">
        <v>1.3882</v>
      </c>
      <c r="N93" s="14"/>
      <c r="O93" s="32" t="s">
        <v>255</v>
      </c>
      <c r="P93" s="7">
        <v>1.3627</v>
      </c>
      <c r="Q93" s="2">
        <v>1.2647</v>
      </c>
    </row>
    <row r="94" spans="1:27" ht="14.817298198168677" customHeight="1">
      <c r="A94" s="1" t="s">
        <v>256</v>
      </c>
      <c r="B94" s="7">
        <v>1.9476</v>
      </c>
      <c r="C94" s="7">
        <v>2.0485</v>
      </c>
      <c r="D94" s="7">
        <v>1.9482</v>
      </c>
      <c r="E94" s="7">
        <v>1.3558</v>
      </c>
      <c r="F94" s="7">
        <v>1.3047</v>
      </c>
      <c r="G94" s="7">
        <v>1.2657</v>
      </c>
      <c r="H94" s="7">
        <v>1.2903</v>
      </c>
      <c r="I94" s="7">
        <v>1.3147</v>
      </c>
      <c r="J94" s="7">
        <v>1.3526</v>
      </c>
      <c r="K94" s="7">
        <v>1.3631</v>
      </c>
      <c r="L94" s="7">
        <v>1.509</v>
      </c>
      <c r="M94" s="1">
        <v>1.5816</v>
      </c>
      <c r="N94" s="14"/>
      <c r="O94" s="32" t="s">
        <v>256</v>
      </c>
      <c r="P94" s="7">
        <v>1.5013</v>
      </c>
      <c r="Q94" s="49">
        <v>1.531</v>
      </c>
    </row>
    <row r="95" spans="1:27" ht="16.299032087676853" customHeight="1">
      <c r="A95" s="1" t="s">
        <v>257</v>
      </c>
      <c r="B95" s="7">
        <v>1.12</v>
      </c>
      <c r="C95" s="7">
        <v>1.29</v>
      </c>
      <c r="D95" s="7">
        <v>1.5</v>
      </c>
      <c r="E95" s="7">
        <v>1.26</v>
      </c>
      <c r="F95" s="7">
        <v>1.27</v>
      </c>
      <c r="G95" s="7">
        <v>1.3</v>
      </c>
      <c r="H95" s="7">
        <v>1.32</v>
      </c>
      <c r="I95" s="7">
        <v>1.34</v>
      </c>
      <c r="J95" s="7">
        <v>1.34</v>
      </c>
      <c r="K95" s="7">
        <v>1.29</v>
      </c>
      <c r="L95" s="7">
        <v>1.44</v>
      </c>
      <c r="M95" s="1">
        <v>1.36</v>
      </c>
      <c r="N95" s="14"/>
      <c r="O95" s="32" t="s">
        <v>257</v>
      </c>
      <c r="P95" s="7">
        <v>1.12</v>
      </c>
      <c r="Q95" s="49">
        <v>1.34</v>
      </c>
    </row>
    <row r="96" spans="1:27" ht="15.291377931565117" customHeight="1">
      <c r="A96" s="1" t="s">
        <v>258</v>
      </c>
      <c r="B96" s="7">
        <v>3.9181</v>
      </c>
      <c r="C96" s="7">
        <v>4.0114</v>
      </c>
      <c r="D96" s="7">
        <v>3.7753</v>
      </c>
      <c r="E96" s="7">
        <v>3.9637</v>
      </c>
      <c r="F96" s="7">
        <v>3.9839</v>
      </c>
      <c r="G96" s="7">
        <v>4.1249</v>
      </c>
      <c r="H96" s="7">
        <v>4.3408</v>
      </c>
      <c r="I96" s="7">
        <v>4.7638</v>
      </c>
      <c r="J96" s="7">
        <v>5.3393</v>
      </c>
      <c r="K96" s="7">
        <v>5.1803</v>
      </c>
      <c r="L96" s="7">
        <v>2.387</v>
      </c>
      <c r="M96" s="1">
        <v>2.5746</v>
      </c>
      <c r="N96" s="14"/>
      <c r="O96" s="32" t="s">
        <v>258</v>
      </c>
      <c r="P96" s="7">
        <v>2.4472</v>
      </c>
      <c r="Q96" s="49">
        <v>2.3563</v>
      </c>
    </row>
    <row r="97" spans="1:27" ht="16.299011739220685" customHeight="1">
      <c r="A97" s="1" t="s">
        <v>259</v>
      </c>
      <c r="B97" s="7">
        <v>4.1354</v>
      </c>
      <c r="C97" s="7">
        <v>4.5344</v>
      </c>
      <c r="D97" s="7">
        <v>3.0362</v>
      </c>
      <c r="E97" s="7">
        <v>3.3535</v>
      </c>
      <c r="F97" s="7">
        <v>3.3911</v>
      </c>
      <c r="G97" s="7">
        <v>3.5131</v>
      </c>
      <c r="H97" s="7">
        <v>3.7269</v>
      </c>
      <c r="I97" s="7">
        <v>3.5812</v>
      </c>
      <c r="J97" s="7">
        <v>3.6913</v>
      </c>
      <c r="K97" s="7">
        <v>3.7623</v>
      </c>
      <c r="L97" s="7">
        <v>3.453</v>
      </c>
      <c r="M97" s="1">
        <v>3.548</v>
      </c>
      <c r="N97" s="14"/>
      <c r="O97" s="32" t="s">
        <v>259</v>
      </c>
      <c r="P97" s="7">
        <v>3.3689</v>
      </c>
      <c r="Q97" s="49">
        <v>3.2488</v>
      </c>
    </row>
    <row r="98" spans="1:27" ht="17.286847897863485" customHeight="1">
      <c r="A98" s="1" t="s">
        <v>260</v>
      </c>
      <c r="B98" s="7">
        <v>2.5659</v>
      </c>
      <c r="C98" s="7">
        <v>2.6469</v>
      </c>
      <c r="D98" s="7">
        <v>2.4914</v>
      </c>
      <c r="E98" s="7">
        <v>2.8941</v>
      </c>
      <c r="F98" s="7">
        <v>3.135</v>
      </c>
      <c r="G98" s="7">
        <v>3.2981</v>
      </c>
      <c r="H98" s="7">
        <v>3.1091</v>
      </c>
      <c r="I98" s="7">
        <v>3.4234</v>
      </c>
      <c r="J98" s="7">
        <v>3.7785</v>
      </c>
      <c r="K98" s="7">
        <v>4.3061</v>
      </c>
      <c r="L98" s="7">
        <v>3.1097</v>
      </c>
      <c r="M98" s="1">
        <v>5.1169</v>
      </c>
      <c r="N98" s="14"/>
      <c r="O98" s="32" t="s">
        <v>260</v>
      </c>
      <c r="P98" s="7">
        <v>1.6875</v>
      </c>
      <c r="Q98" s="2">
        <v>1.7244</v>
      </c>
    </row>
    <row r="99" spans="1:27" ht="18.274663708049957" customHeight="1">
      <c r="A99" s="1" t="s">
        <v>261</v>
      </c>
      <c r="B99" s="7">
        <v>9.633</v>
      </c>
      <c r="C99" s="7">
        <v>0.1222</v>
      </c>
      <c r="D99" s="7">
        <v>4.2645</v>
      </c>
      <c r="E99" s="7">
        <v>0.1323</v>
      </c>
      <c r="F99" s="7">
        <v>0.1203</v>
      </c>
      <c r="G99" s="7">
        <v>0.1367</v>
      </c>
      <c r="H99" s="7">
        <v>0.1667</v>
      </c>
      <c r="I99" s="7">
        <v>0.1436</v>
      </c>
      <c r="J99" s="7">
        <v>0.155</v>
      </c>
      <c r="K99" s="7">
        <v>0.1247</v>
      </c>
      <c r="L99" s="7">
        <v>0.1044</v>
      </c>
      <c r="M99" s="1">
        <v>11.8384</v>
      </c>
      <c r="N99" s="14"/>
      <c r="O99" s="32" t="s">
        <v>261</v>
      </c>
      <c r="P99" s="7">
        <v>6.4761</v>
      </c>
      <c r="Q99" s="49">
        <v>5.5341</v>
      </c>
    </row>
    <row r="100" spans="1:27" ht="17.286847897863485" customHeight="1">
      <c r="A100" s="15" t="s">
        <v>262</v>
      </c>
      <c r="B100" s="28">
        <v>2.15</v>
      </c>
      <c r="C100" s="28">
        <v>29.2</v>
      </c>
      <c r="D100" s="28">
        <v>20.67</v>
      </c>
      <c r="E100" s="28">
        <v>14.98</v>
      </c>
      <c r="F100" s="28">
        <v>25.1</v>
      </c>
      <c r="G100" s="28">
        <v>19.64</v>
      </c>
      <c r="H100" s="28">
        <v>101.28</v>
      </c>
      <c r="I100" s="28">
        <v>107.75</v>
      </c>
      <c r="J100" s="28">
        <v>136.14</v>
      </c>
      <c r="K100" s="28">
        <v>22.25</v>
      </c>
      <c r="L100" s="28">
        <v>905.18</v>
      </c>
      <c r="M100" s="15">
        <v>465.89</v>
      </c>
      <c r="N100" s="41"/>
      <c r="O100" s="35" t="s">
        <v>262</v>
      </c>
      <c r="P100" s="16" t="s">
        <v>383</v>
      </c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ht="16.79292981854208" customHeight="1">
      <c r="A101" s="1" t="s">
        <v>263</v>
      </c>
      <c r="B101" s="7">
        <v>3.34</v>
      </c>
      <c r="C101" s="7">
        <v>2.422</v>
      </c>
      <c r="D101" s="7">
        <v>2.605</v>
      </c>
      <c r="E101" s="7">
        <v>3.109</v>
      </c>
      <c r="F101" s="7">
        <v>3.029</v>
      </c>
      <c r="G101" s="7">
        <v>2.986</v>
      </c>
      <c r="H101" s="7">
        <v>3.47</v>
      </c>
      <c r="I101" s="7">
        <v>3.958</v>
      </c>
      <c r="J101" s="7">
        <v>4.155</v>
      </c>
      <c r="K101" s="7">
        <v>4.752</v>
      </c>
      <c r="L101" s="7">
        <v>4.973</v>
      </c>
      <c r="M101" s="1">
        <v>4.8359</v>
      </c>
      <c r="N101" s="14"/>
      <c r="O101" s="32" t="s">
        <v>263</v>
      </c>
      <c r="P101" s="7">
        <v>4.4029</v>
      </c>
      <c r="Q101" s="49">
        <v>4.1244</v>
      </c>
    </row>
    <row r="102" spans="1:27" ht="16.299011739220685" customHeight="1">
      <c r="A102" s="1" t="s">
        <v>264</v>
      </c>
      <c r="B102" s="7">
        <v>1.75</v>
      </c>
      <c r="C102" s="7">
        <v>1.78</v>
      </c>
      <c r="D102" s="7">
        <v>1.83</v>
      </c>
      <c r="E102" s="7">
        <v>1.91</v>
      </c>
      <c r="F102" s="7">
        <v>1.94</v>
      </c>
      <c r="G102" s="7">
        <v>1.98</v>
      </c>
      <c r="H102" s="7">
        <v>1.96</v>
      </c>
      <c r="I102" s="7">
        <v>2</v>
      </c>
      <c r="J102" s="7">
        <v>2.01</v>
      </c>
      <c r="K102" s="7">
        <v>2.13</v>
      </c>
      <c r="L102" s="7">
        <v>2.18</v>
      </c>
      <c r="M102" s="1">
        <v>2.17</v>
      </c>
      <c r="N102" s="14"/>
      <c r="O102" s="32" t="s">
        <v>264</v>
      </c>
      <c r="P102" s="7">
        <v>1.89</v>
      </c>
      <c r="Q102" s="49">
        <v>1.99</v>
      </c>
    </row>
    <row r="103" spans="1:27" ht="15.784791404144626" customHeight="1">
      <c r="A103" s="1" t="s">
        <v>265</v>
      </c>
      <c r="B103" s="7">
        <v>0.941</v>
      </c>
      <c r="C103" s="7">
        <v>0.945</v>
      </c>
      <c r="D103" s="7">
        <v>1.12</v>
      </c>
      <c r="E103" s="7">
        <v>1.116</v>
      </c>
      <c r="F103" s="7">
        <v>1.11</v>
      </c>
      <c r="G103" s="7">
        <v>1.074</v>
      </c>
      <c r="H103" s="7">
        <v>1.068</v>
      </c>
      <c r="I103" s="7">
        <v>1.069</v>
      </c>
      <c r="J103" s="7">
        <v>1.066</v>
      </c>
      <c r="K103" s="7">
        <v>1.106</v>
      </c>
      <c r="L103" s="7">
        <v>1.103</v>
      </c>
      <c r="M103" s="1">
        <v>1.0922</v>
      </c>
      <c r="N103" s="14"/>
      <c r="O103" s="32" t="s">
        <v>265</v>
      </c>
      <c r="P103" s="7">
        <v>1.092</v>
      </c>
      <c r="Q103" s="49">
        <v>1.0866</v>
      </c>
    </row>
    <row r="104" spans="1:27" ht="15.805114008355304" customHeight="1">
      <c r="A104" s="1" t="s">
        <v>266</v>
      </c>
      <c r="B104" s="7">
        <v>4.86</v>
      </c>
      <c r="C104" s="7">
        <v>4.194</v>
      </c>
      <c r="D104" s="7">
        <v>4.386</v>
      </c>
      <c r="E104" s="7">
        <v>4.523</v>
      </c>
      <c r="F104" s="7">
        <v>4.475</v>
      </c>
      <c r="G104" s="7">
        <v>4.277</v>
      </c>
      <c r="H104" s="7">
        <v>4.33</v>
      </c>
      <c r="I104" s="7">
        <v>4.706</v>
      </c>
      <c r="J104" s="7">
        <v>5.531</v>
      </c>
      <c r="K104" s="7">
        <v>5.453</v>
      </c>
      <c r="L104" s="7">
        <v>5.532</v>
      </c>
      <c r="M104" s="1">
        <v>5.136</v>
      </c>
      <c r="N104" s="14"/>
      <c r="O104" s="32" t="s">
        <v>266</v>
      </c>
      <c r="P104" s="7">
        <v>5.108</v>
      </c>
      <c r="Q104" s="49">
        <v>5.0308</v>
      </c>
    </row>
    <row r="105" spans="1:27" ht="14.32338011884743" customHeight="1">
      <c r="A105" s="1" t="s">
        <v>267</v>
      </c>
      <c r="B105" s="7">
        <v>1.2074</v>
      </c>
      <c r="C105" s="7">
        <v>1.2913</v>
      </c>
      <c r="D105" s="7">
        <v>1.2959</v>
      </c>
      <c r="E105" s="7">
        <v>1.436</v>
      </c>
      <c r="F105" s="7">
        <v>1.5086</v>
      </c>
      <c r="G105" s="7">
        <v>1.4287</v>
      </c>
      <c r="H105" s="7">
        <v>1.4036</v>
      </c>
      <c r="I105" s="7">
        <v>1.4739</v>
      </c>
      <c r="J105" s="7">
        <v>1.4977</v>
      </c>
      <c r="K105" s="7">
        <v>1.676</v>
      </c>
      <c r="L105" s="7">
        <v>1.9718</v>
      </c>
      <c r="M105" s="1">
        <v>1.8141</v>
      </c>
      <c r="N105" s="14"/>
      <c r="O105" s="32" t="s">
        <v>267</v>
      </c>
      <c r="P105" s="7">
        <v>1.7451</v>
      </c>
      <c r="Q105" s="49">
        <v>1.6317</v>
      </c>
    </row>
    <row r="106" spans="1:27" ht="15.805114008355607" customHeight="1">
      <c r="A106" s="1" t="s">
        <v>268</v>
      </c>
      <c r="B106" s="7">
        <v>117.14</v>
      </c>
      <c r="C106" s="7">
        <v>118.81</v>
      </c>
      <c r="D106" s="7">
        <v>111.48</v>
      </c>
      <c r="E106" s="7">
        <v>117.45</v>
      </c>
      <c r="F106" s="7">
        <v>125.09</v>
      </c>
      <c r="G106" s="7">
        <v>141.23</v>
      </c>
      <c r="H106" s="7">
        <v>169.16</v>
      </c>
      <c r="I106" s="7">
        <v>169.8</v>
      </c>
      <c r="J106" s="7">
        <v>176.25</v>
      </c>
      <c r="K106" s="7">
        <v>189.63</v>
      </c>
      <c r="L106" s="7">
        <v>180.87</v>
      </c>
      <c r="M106" s="1">
        <v>1.8218</v>
      </c>
      <c r="N106" s="14"/>
      <c r="O106" s="32" t="s">
        <v>268</v>
      </c>
      <c r="P106" s="7">
        <v>1.7041</v>
      </c>
      <c r="Q106" s="2">
        <v>1.3655</v>
      </c>
    </row>
    <row r="107" spans="1:27" ht="14.323359770390807" customHeight="1">
      <c r="A107" s="1" t="s">
        <v>269</v>
      </c>
      <c r="B107" s="7">
        <v>2.037</v>
      </c>
      <c r="C107" s="7">
        <v>1.822</v>
      </c>
      <c r="D107" s="7">
        <v>1.714</v>
      </c>
      <c r="E107" s="7">
        <v>1.93</v>
      </c>
      <c r="F107" s="7">
        <v>2.025</v>
      </c>
      <c r="G107" s="7">
        <v>2.045</v>
      </c>
      <c r="H107" s="7">
        <v>2.317</v>
      </c>
      <c r="I107" s="7">
        <v>2.346</v>
      </c>
      <c r="J107" s="7">
        <v>2.289</v>
      </c>
      <c r="K107" s="7">
        <v>2.483</v>
      </c>
      <c r="L107" s="7">
        <v>2.567</v>
      </c>
      <c r="M107" s="1">
        <v>2.7693</v>
      </c>
      <c r="N107" s="14"/>
      <c r="O107" s="32" t="s">
        <v>269</v>
      </c>
      <c r="P107" s="7">
        <v>1.9325</v>
      </c>
      <c r="Q107" s="49">
        <v>1.7942</v>
      </c>
    </row>
    <row r="108" spans="1:27" ht="16.792970515454424" customHeight="1">
      <c r="A108" s="1" t="s">
        <v>270</v>
      </c>
      <c r="B108" s="7">
        <v>3.812</v>
      </c>
      <c r="C108" s="7">
        <v>3.648</v>
      </c>
      <c r="D108" s="7">
        <v>3.392</v>
      </c>
      <c r="E108" s="7">
        <v>3.414</v>
      </c>
      <c r="F108" s="7">
        <v>3.25</v>
      </c>
      <c r="G108" s="7">
        <v>3.117</v>
      </c>
      <c r="H108" s="7">
        <v>2.345</v>
      </c>
      <c r="I108" s="7">
        <v>3.485</v>
      </c>
      <c r="J108" s="7">
        <v>3.644</v>
      </c>
      <c r="K108" s="7">
        <v>3.435</v>
      </c>
      <c r="L108" s="7">
        <v>3.38</v>
      </c>
      <c r="M108" s="1">
        <v>3.636</v>
      </c>
      <c r="N108" s="14"/>
      <c r="O108" s="32" t="s">
        <v>270</v>
      </c>
      <c r="P108" s="7">
        <v>2.821</v>
      </c>
      <c r="Q108" s="49">
        <v>2.804</v>
      </c>
    </row>
    <row r="109" spans="1:27" ht="14.32342081575977" customHeight="1">
      <c r="A109" s="1" t="s">
        <v>271</v>
      </c>
      <c r="B109" s="7">
        <v>0.89</v>
      </c>
      <c r="C109" s="7">
        <v>0.96</v>
      </c>
      <c r="D109" s="7">
        <v>0.93</v>
      </c>
      <c r="E109" s="7">
        <v>0.97</v>
      </c>
      <c r="F109" s="7">
        <v>1.02</v>
      </c>
      <c r="G109" s="7">
        <v>1.02</v>
      </c>
      <c r="H109" s="7">
        <v>1.01</v>
      </c>
      <c r="I109" s="7">
        <v>1.08</v>
      </c>
      <c r="J109" s="7">
        <v>1.36</v>
      </c>
      <c r="K109" s="7">
        <v>1.45</v>
      </c>
      <c r="L109" s="7">
        <v>1.74</v>
      </c>
      <c r="M109" s="1">
        <v>1.48</v>
      </c>
      <c r="N109" s="14"/>
      <c r="O109" s="32" t="s">
        <v>271</v>
      </c>
      <c r="P109" s="7">
        <v>1.45</v>
      </c>
      <c r="Q109" s="49">
        <v>1.32</v>
      </c>
    </row>
    <row r="110" spans="1:27" ht="16.76488755211115" customHeight="1">
      <c r="A110" s="1" t="s">
        <v>272</v>
      </c>
      <c r="B110" s="7">
        <v>3.068</v>
      </c>
      <c r="C110" s="7">
        <v>2.449</v>
      </c>
      <c r="D110" s="7">
        <v>2.399</v>
      </c>
      <c r="E110" s="7">
        <v>2.262</v>
      </c>
      <c r="F110" s="7">
        <v>2.048</v>
      </c>
      <c r="G110" s="7">
        <v>2.169</v>
      </c>
      <c r="H110" s="7">
        <v>2.256</v>
      </c>
      <c r="I110" s="7">
        <v>2.183</v>
      </c>
      <c r="J110" s="7">
        <v>2.222</v>
      </c>
      <c r="K110" s="7">
        <v>2.318</v>
      </c>
      <c r="L110" s="7">
        <v>2.259</v>
      </c>
      <c r="M110" s="1">
        <v>2.6986</v>
      </c>
      <c r="N110" s="14"/>
      <c r="O110" s="32" t="s">
        <v>272</v>
      </c>
      <c r="P110" s="7">
        <v>2.9203</v>
      </c>
      <c r="Q110" s="49">
        <v>2.7041</v>
      </c>
    </row>
    <row r="111" spans="1:27" ht="16.792950166998406" customHeight="1">
      <c r="A111" s="1" t="s">
        <v>273</v>
      </c>
      <c r="B111" s="7">
        <v>8.15</v>
      </c>
      <c r="C111" s="7">
        <v>7.927</v>
      </c>
      <c r="D111" s="7">
        <v>7.388</v>
      </c>
      <c r="E111" s="7">
        <v>6.107</v>
      </c>
      <c r="F111" s="7">
        <v>5.906</v>
      </c>
      <c r="G111" s="7">
        <v>5.053</v>
      </c>
      <c r="H111" s="7">
        <v>4.414</v>
      </c>
      <c r="I111" s="7">
        <v>4.393</v>
      </c>
      <c r="J111" s="7">
        <v>4.266</v>
      </c>
      <c r="K111" s="7">
        <v>4.057</v>
      </c>
      <c r="L111" s="7">
        <v>4.711</v>
      </c>
      <c r="M111" s="1">
        <v>5.4128</v>
      </c>
      <c r="N111" s="14"/>
      <c r="O111" s="32" t="s">
        <v>273</v>
      </c>
      <c r="P111" s="7">
        <v>5.1995</v>
      </c>
      <c r="Q111" s="49">
        <v>4.2418</v>
      </c>
    </row>
    <row r="112" spans="1:27" ht="16.79290947008576" customHeight="1">
      <c r="A112" s="1" t="s">
        <v>274</v>
      </c>
      <c r="B112" s="7">
        <v>4.61</v>
      </c>
      <c r="C112" s="7">
        <v>4.1</v>
      </c>
      <c r="D112" s="7">
        <v>3.66</v>
      </c>
      <c r="E112" s="7">
        <v>4.2</v>
      </c>
      <c r="F112" s="7">
        <v>4.03</v>
      </c>
      <c r="G112" s="7">
        <v>4.73</v>
      </c>
      <c r="H112" s="7">
        <v>4.38</v>
      </c>
      <c r="I112" s="7">
        <v>4.3</v>
      </c>
      <c r="J112" s="7">
        <v>4.27</v>
      </c>
      <c r="K112" s="7">
        <v>4.38</v>
      </c>
      <c r="L112" s="7">
        <v>4.25</v>
      </c>
      <c r="M112" s="1">
        <v>4.45</v>
      </c>
      <c r="N112" s="14"/>
      <c r="O112" s="32" t="s">
        <v>274</v>
      </c>
      <c r="P112" s="7">
        <v>4.08</v>
      </c>
      <c r="Q112" s="49">
        <v>4.2</v>
      </c>
    </row>
    <row r="113" spans="1:27" ht="15.311216277490226" customHeight="1">
      <c r="A113" s="1" t="s">
        <v>275</v>
      </c>
      <c r="B113" s="7">
        <v>1.32</v>
      </c>
      <c r="C113" s="7">
        <v>1.33</v>
      </c>
      <c r="D113" s="7">
        <v>1.34</v>
      </c>
      <c r="E113" s="7">
        <v>1.37</v>
      </c>
      <c r="F113" s="7">
        <v>1.41</v>
      </c>
      <c r="G113" s="7">
        <v>1.38</v>
      </c>
      <c r="H113" s="7">
        <v>1.39</v>
      </c>
      <c r="I113" s="7">
        <v>1.41</v>
      </c>
      <c r="J113" s="7">
        <v>1.45</v>
      </c>
      <c r="K113" s="7">
        <v>1.5</v>
      </c>
      <c r="L113" s="7">
        <v>1.48</v>
      </c>
      <c r="M113" s="1">
        <v>1.51</v>
      </c>
      <c r="N113" s="14"/>
      <c r="O113" s="32" t="s">
        <v>275</v>
      </c>
      <c r="P113" s="7">
        <v>1.53</v>
      </c>
      <c r="Q113" s="49">
        <v>5.22</v>
      </c>
    </row>
    <row r="114" spans="1:27" ht="15.805114008355304" customHeight="1">
      <c r="A114" s="1" t="s">
        <v>276</v>
      </c>
      <c r="B114" s="7">
        <v>2.58</v>
      </c>
      <c r="C114" s="7">
        <v>2.52</v>
      </c>
      <c r="D114" s="7">
        <v>2.71</v>
      </c>
      <c r="E114" s="7">
        <v>2.82</v>
      </c>
      <c r="F114" s="7">
        <v>2.78</v>
      </c>
      <c r="G114" s="7">
        <v>2.72</v>
      </c>
      <c r="H114" s="7">
        <v>2.73</v>
      </c>
      <c r="I114" s="7">
        <v>2.53</v>
      </c>
      <c r="J114" s="7">
        <v>2.55</v>
      </c>
      <c r="K114" s="7">
        <v>2.58</v>
      </c>
      <c r="L114" s="7">
        <v>2.56</v>
      </c>
      <c r="M114" s="1">
        <v>2.55</v>
      </c>
      <c r="N114" s="14"/>
      <c r="O114" s="32" t="s">
        <v>276</v>
      </c>
      <c r="P114" s="7">
        <v>2.61</v>
      </c>
      <c r="Q114" s="49">
        <v>2.6</v>
      </c>
    </row>
    <row r="115" spans="1:27" ht="15.311195929033905" customHeight="1">
      <c r="A115" s="1" t="s">
        <v>277</v>
      </c>
      <c r="B115" s="7">
        <v>1.2056</v>
      </c>
      <c r="C115" s="7">
        <v>1.2976</v>
      </c>
      <c r="D115" s="7">
        <v>1.2711</v>
      </c>
      <c r="E115" s="7">
        <v>1.6349</v>
      </c>
      <c r="F115" s="7">
        <v>1.5849</v>
      </c>
      <c r="G115" s="7">
        <v>1.2194</v>
      </c>
      <c r="H115" s="7">
        <v>1.2513</v>
      </c>
      <c r="I115" s="7">
        <v>1.696</v>
      </c>
      <c r="J115" s="7">
        <v>1.3303</v>
      </c>
      <c r="K115" s="7">
        <v>1.2474</v>
      </c>
      <c r="L115" s="7">
        <v>1.295</v>
      </c>
      <c r="M115" s="1">
        <v>1.38</v>
      </c>
      <c r="N115" s="14"/>
      <c r="O115" s="32" t="s">
        <v>277</v>
      </c>
      <c r="P115" s="7">
        <v>2.08</v>
      </c>
      <c r="Q115" s="49">
        <v>1.2849</v>
      </c>
    </row>
    <row r="116" spans="1:27" ht="15.311216277490226" customHeight="1">
      <c r="A116" s="1" t="s">
        <v>278</v>
      </c>
      <c r="B116" s="7">
        <v>4.37</v>
      </c>
      <c r="C116" s="7">
        <v>5.28</v>
      </c>
      <c r="D116" s="7">
        <v>5</v>
      </c>
      <c r="E116" s="7">
        <v>5.29</v>
      </c>
      <c r="F116" s="7">
        <v>4.6</v>
      </c>
      <c r="G116" s="7">
        <v>4.65</v>
      </c>
      <c r="H116" s="7">
        <v>5.12</v>
      </c>
      <c r="I116" s="7">
        <v>5.14</v>
      </c>
      <c r="J116" s="7">
        <v>5.98</v>
      </c>
      <c r="K116" s="7">
        <v>5.95</v>
      </c>
      <c r="L116" s="7">
        <v>8.46</v>
      </c>
      <c r="M116" s="1">
        <v>8.25</v>
      </c>
      <c r="N116" s="14"/>
      <c r="O116" s="32" t="s">
        <v>278</v>
      </c>
      <c r="P116" s="7">
        <v>7.79</v>
      </c>
      <c r="Q116" s="49">
        <v>7.97</v>
      </c>
    </row>
    <row r="117" spans="1:27" ht="17.28682754940716" customHeight="1">
      <c r="A117" s="1" t="s">
        <v>279</v>
      </c>
      <c r="B117" s="7">
        <v>1.49</v>
      </c>
      <c r="C117" s="7">
        <v>1.39</v>
      </c>
      <c r="D117" s="7">
        <v>1.42</v>
      </c>
      <c r="E117" s="7">
        <v>1.44</v>
      </c>
      <c r="F117" s="7">
        <v>1.49</v>
      </c>
      <c r="G117" s="7">
        <v>1.47</v>
      </c>
      <c r="H117" s="7">
        <v>1.57</v>
      </c>
      <c r="I117" s="7">
        <v>1.67</v>
      </c>
      <c r="J117" s="7">
        <v>1.67</v>
      </c>
      <c r="K117" s="7">
        <v>1.81</v>
      </c>
      <c r="L117" s="7">
        <v>2.04</v>
      </c>
      <c r="M117" s="1">
        <v>2.3</v>
      </c>
      <c r="N117" s="14"/>
      <c r="O117" s="32" t="s">
        <v>279</v>
      </c>
      <c r="P117" s="7">
        <v>2.21</v>
      </c>
      <c r="Q117" s="49">
        <v>1.92</v>
      </c>
    </row>
    <row r="118" spans="1:27" ht="17.286888594776126" customHeight="1">
      <c r="A118" s="1" t="s">
        <v>280</v>
      </c>
      <c r="B118" s="7">
        <v>1.088</v>
      </c>
      <c r="C118" s="7">
        <v>1.019</v>
      </c>
      <c r="D118" s="7">
        <v>0.851</v>
      </c>
      <c r="E118" s="7">
        <v>0.876</v>
      </c>
      <c r="F118" s="7"/>
      <c r="G118" s="7">
        <v>1.455</v>
      </c>
      <c r="H118" s="7">
        <v>1.494</v>
      </c>
      <c r="I118" s="7">
        <v>1.6</v>
      </c>
      <c r="J118" s="7">
        <v>1.78</v>
      </c>
      <c r="K118" s="7">
        <v>1.86</v>
      </c>
      <c r="L118" s="7">
        <v>1.9</v>
      </c>
      <c r="M118" s="50">
        <v>1.97</v>
      </c>
      <c r="N118" s="14"/>
      <c r="O118" s="32" t="s">
        <v>280</v>
      </c>
      <c r="P118" s="7">
        <v>1.9685</v>
      </c>
    </row>
    <row r="119" spans="1:27">
      <c r="A119" s="1" t="s">
        <v>281</v>
      </c>
      <c r="B119" s="7">
        <v>1.56</v>
      </c>
      <c r="C119" s="7">
        <v>1.16</v>
      </c>
      <c r="D119" s="7">
        <v>1.14</v>
      </c>
      <c r="E119" s="7">
        <v>1.16</v>
      </c>
      <c r="F119" s="7">
        <v>1.2</v>
      </c>
      <c r="G119" s="7">
        <v>1.25</v>
      </c>
      <c r="H119" s="7">
        <v>1.22</v>
      </c>
      <c r="I119" s="7">
        <v>1.27</v>
      </c>
      <c r="J119" s="7">
        <v>1.38</v>
      </c>
      <c r="K119" s="7">
        <v>1.46</v>
      </c>
      <c r="L119" s="7">
        <v>1.73</v>
      </c>
      <c r="M119" s="1">
        <v>1.49</v>
      </c>
      <c r="N119" s="14"/>
      <c r="O119" s="32" t="s">
        <v>281</v>
      </c>
      <c r="P119" s="7">
        <v>1.53</v>
      </c>
      <c r="Q119" s="49">
        <v>1.45</v>
      </c>
    </row>
    <row r="120" spans="1:27" ht="14.860596359871428" customHeight="1">
      <c r="A120" s="1" t="s">
        <v>282</v>
      </c>
      <c r="B120" s="7">
        <v>1.8</v>
      </c>
      <c r="C120" s="7">
        <v>2.577</v>
      </c>
      <c r="D120" s="7">
        <v>2.597</v>
      </c>
      <c r="E120" s="7">
        <v>2.787</v>
      </c>
      <c r="F120" s="7">
        <v>2.622</v>
      </c>
      <c r="G120" s="7">
        <v>2.648</v>
      </c>
      <c r="H120" s="7">
        <v>2.655</v>
      </c>
      <c r="I120" s="7">
        <v>2.73</v>
      </c>
      <c r="J120" s="7">
        <v>2.757</v>
      </c>
      <c r="K120" s="7">
        <v>2.889</v>
      </c>
      <c r="L120" s="7">
        <v>2.889</v>
      </c>
      <c r="M120" s="1">
        <v>2.7754</v>
      </c>
      <c r="N120" s="14"/>
      <c r="O120" s="32" t="s">
        <v>282</v>
      </c>
      <c r="P120" s="7">
        <v>2.7358</v>
      </c>
      <c r="Q120" s="49">
        <v>2.7607</v>
      </c>
    </row>
    <row r="121" spans="1:27" ht="17.780745628728557" customHeight="1">
      <c r="A121" s="1" t="s">
        <v>283</v>
      </c>
      <c r="B121" s="7">
        <v>1.11</v>
      </c>
      <c r="C121" s="7">
        <v>1.09</v>
      </c>
      <c r="D121" s="7">
        <v>1.08</v>
      </c>
      <c r="E121" s="7">
        <v>1.11</v>
      </c>
      <c r="F121" s="7">
        <v>1.06</v>
      </c>
      <c r="G121" s="7">
        <v>1.09</v>
      </c>
      <c r="H121" s="7">
        <v>1.0528</v>
      </c>
      <c r="I121" s="7">
        <v>1.0549</v>
      </c>
      <c r="J121" s="7">
        <v>1.053</v>
      </c>
      <c r="K121" s="7">
        <v>1.0051</v>
      </c>
      <c r="L121" s="7">
        <v>1.02</v>
      </c>
      <c r="M121" s="1">
        <v>1.11</v>
      </c>
      <c r="N121" s="14"/>
      <c r="O121" s="32" t="s">
        <v>283</v>
      </c>
      <c r="P121" s="7">
        <v>1.53</v>
      </c>
    </row>
    <row r="122" spans="1:27" ht="15.805134356811928" customHeight="1">
      <c r="A122" s="1" t="s">
        <v>284</v>
      </c>
      <c r="B122" s="7">
        <v>1.52</v>
      </c>
      <c r="C122" s="7">
        <v>1.53</v>
      </c>
      <c r="D122" s="7">
        <v>1.52</v>
      </c>
      <c r="E122" s="7">
        <v>1.59</v>
      </c>
      <c r="F122" s="7">
        <v>1.58</v>
      </c>
      <c r="G122" s="7">
        <v>1.19</v>
      </c>
      <c r="H122" s="7">
        <v>1.25</v>
      </c>
      <c r="I122" s="7">
        <v>1.24</v>
      </c>
      <c r="J122" s="7">
        <v>1.35</v>
      </c>
      <c r="K122" s="7">
        <v>1.55</v>
      </c>
      <c r="L122" s="7">
        <v>1.62</v>
      </c>
      <c r="M122" s="1">
        <v>1.71</v>
      </c>
      <c r="N122" s="14"/>
      <c r="O122" s="32" t="s">
        <v>284</v>
      </c>
      <c r="P122" s="7">
        <v>1.65</v>
      </c>
      <c r="Q122" s="49">
        <v>1.69</v>
      </c>
    </row>
    <row r="123" spans="1:27" ht="15.31144823240417" customHeight="1">
      <c r="A123" s="1" t="s">
        <v>285</v>
      </c>
      <c r="B123" s="7">
        <v>1.35</v>
      </c>
      <c r="C123" s="7">
        <v>1.37</v>
      </c>
      <c r="D123" s="7">
        <v>1.44</v>
      </c>
      <c r="E123" s="7">
        <v>1.43</v>
      </c>
      <c r="F123" s="7">
        <v>1.42</v>
      </c>
      <c r="G123" s="7">
        <v>1.44</v>
      </c>
      <c r="H123" s="7">
        <v>1.46</v>
      </c>
      <c r="I123" s="7">
        <v>1.49</v>
      </c>
      <c r="J123" s="7">
        <v>1.52</v>
      </c>
      <c r="K123" s="7">
        <v>1.51</v>
      </c>
      <c r="L123" s="7">
        <v>1.64</v>
      </c>
      <c r="M123" s="1">
        <v>1.66</v>
      </c>
      <c r="N123" s="14"/>
      <c r="O123" s="32" t="s">
        <v>285</v>
      </c>
      <c r="P123" s="7">
        <v>1.68</v>
      </c>
      <c r="Q123" s="49">
        <v>1.7</v>
      </c>
    </row>
    <row r="124" spans="1:27" ht="16.792950166998406" customHeight="1">
      <c r="A124" s="30" t="s">
        <v>286</v>
      </c>
      <c r="B124" s="7">
        <v>2.07</v>
      </c>
      <c r="C124" s="7">
        <v>2.091</v>
      </c>
      <c r="D124" s="7">
        <v>1.945</v>
      </c>
      <c r="E124" s="7">
        <v>2.176</v>
      </c>
      <c r="F124" s="7">
        <v>2.335</v>
      </c>
      <c r="G124" s="7">
        <v>2.592</v>
      </c>
      <c r="H124" s="7">
        <v>1.915</v>
      </c>
      <c r="I124" s="7">
        <v>1.964</v>
      </c>
      <c r="J124" s="7">
        <v>1.975</v>
      </c>
      <c r="K124" s="7">
        <v>4.767</v>
      </c>
      <c r="L124" s="7">
        <v>4.758</v>
      </c>
      <c r="M124" s="1">
        <v>2.9102</v>
      </c>
      <c r="N124" s="14"/>
      <c r="O124" s="42" t="s">
        <v>286</v>
      </c>
      <c r="P124" s="7">
        <v>2.3788</v>
      </c>
      <c r="Q124" s="49">
        <v>2.462</v>
      </c>
    </row>
    <row r="125" spans="1:27" ht="14.817298198168524" customHeight="1">
      <c r="A125" s="1" t="s">
        <v>287</v>
      </c>
      <c r="B125" s="7">
        <v>1.045</v>
      </c>
      <c r="C125" s="7">
        <v>1.05</v>
      </c>
      <c r="D125" s="7">
        <v>1.046</v>
      </c>
      <c r="E125" s="7">
        <v>1.041</v>
      </c>
      <c r="F125" s="7">
        <v>1.036</v>
      </c>
      <c r="G125" s="7">
        <v>1.055</v>
      </c>
      <c r="H125" s="7">
        <v>1.029</v>
      </c>
      <c r="I125" s="7">
        <v>1.03</v>
      </c>
      <c r="J125" s="7">
        <v>1.047</v>
      </c>
      <c r="K125" s="7">
        <v>1.055</v>
      </c>
      <c r="L125" s="7">
        <v>1.038</v>
      </c>
      <c r="M125" s="1">
        <v>1.0452</v>
      </c>
      <c r="N125" s="14"/>
      <c r="O125" s="32" t="s">
        <v>287</v>
      </c>
      <c r="P125" s="7">
        <v>1.0333</v>
      </c>
      <c r="Q125" s="49">
        <v>1.0283</v>
      </c>
    </row>
    <row r="126" spans="1:27" ht="17.780745628728862" customHeight="1">
      <c r="A126" s="1" t="s">
        <v>288</v>
      </c>
      <c r="B126" s="7">
        <v>1.91</v>
      </c>
      <c r="C126" s="7">
        <v>1.65</v>
      </c>
      <c r="D126" s="7">
        <v>1.64</v>
      </c>
      <c r="E126" s="7">
        <v>1.82</v>
      </c>
      <c r="F126" s="7">
        <v>1.81</v>
      </c>
      <c r="G126" s="7">
        <v>1.59</v>
      </c>
      <c r="H126" s="7">
        <v>1.66</v>
      </c>
      <c r="I126" s="7">
        <v>1.62</v>
      </c>
      <c r="J126" s="7">
        <v>1.51</v>
      </c>
      <c r="K126" s="7">
        <v>1.62</v>
      </c>
      <c r="L126" s="7">
        <v>1.54</v>
      </c>
      <c r="M126" s="1">
        <v>1.43</v>
      </c>
      <c r="N126" s="14"/>
      <c r="O126" s="32" t="s">
        <v>288</v>
      </c>
      <c r="P126" s="7">
        <v>1.37</v>
      </c>
      <c r="Q126" s="49">
        <v>1.27</v>
      </c>
    </row>
    <row r="127" spans="1:27" ht="14.817277849712505" customHeight="1">
      <c r="A127" s="1" t="s">
        <v>289</v>
      </c>
      <c r="B127" s="7">
        <v>1.74</v>
      </c>
      <c r="C127" s="7">
        <v>1.62</v>
      </c>
      <c r="D127" s="7">
        <v>1.87</v>
      </c>
      <c r="E127" s="7">
        <v>1.97</v>
      </c>
      <c r="F127" s="7">
        <v>1.34</v>
      </c>
      <c r="G127" s="7">
        <v>1.62</v>
      </c>
      <c r="H127" s="7">
        <v>1.57</v>
      </c>
      <c r="I127" s="7">
        <v>1.61</v>
      </c>
      <c r="J127" s="7">
        <v>1.66</v>
      </c>
      <c r="K127" s="7">
        <v>1.56</v>
      </c>
      <c r="L127" s="7">
        <v>1.57</v>
      </c>
      <c r="M127" s="1">
        <v>1.57</v>
      </c>
      <c r="N127" s="14"/>
      <c r="O127" s="32" t="s">
        <v>289</v>
      </c>
      <c r="P127" s="7">
        <v>1.55</v>
      </c>
      <c r="Q127" s="49">
        <v>1.65</v>
      </c>
    </row>
    <row r="128" spans="1:27">
      <c r="A128" s="1" t="s">
        <v>290</v>
      </c>
      <c r="B128" s="7">
        <v>1.05</v>
      </c>
      <c r="C128" s="7">
        <v>1.05</v>
      </c>
      <c r="D128" s="7">
        <v>1.04</v>
      </c>
      <c r="E128" s="7">
        <v>1.05</v>
      </c>
      <c r="F128" s="7">
        <v>1.04</v>
      </c>
      <c r="G128" s="7">
        <v>1.04</v>
      </c>
      <c r="H128" s="7">
        <v>1.03</v>
      </c>
      <c r="I128" s="7">
        <v>1.03</v>
      </c>
      <c r="J128" s="7">
        <v>1.03</v>
      </c>
      <c r="K128" s="7">
        <v>1.04</v>
      </c>
      <c r="L128" s="7">
        <v>1.04</v>
      </c>
      <c r="M128" s="1">
        <v>1.04</v>
      </c>
      <c r="N128" s="14"/>
      <c r="O128" s="32" t="s">
        <v>290</v>
      </c>
      <c r="P128" s="7">
        <v>1.05</v>
      </c>
      <c r="Q128" s="49">
        <v>1.05</v>
      </c>
    </row>
    <row r="129" spans="1:27" ht="16.118837431838983" customHeight="1">
      <c r="A129" s="1" t="s">
        <v>291</v>
      </c>
      <c r="B129" s="7">
        <v>6.068</v>
      </c>
      <c r="C129" s="7">
        <v>6.051</v>
      </c>
      <c r="D129" s="7">
        <v>5.867</v>
      </c>
      <c r="E129" s="7">
        <v>6.24</v>
      </c>
      <c r="F129" s="7">
        <v>6.273</v>
      </c>
      <c r="G129" s="7">
        <v>4.024</v>
      </c>
      <c r="H129" s="7">
        <v>1.284</v>
      </c>
      <c r="I129" s="7">
        <v>1.287</v>
      </c>
      <c r="J129" s="7">
        <v>1.521</v>
      </c>
      <c r="K129" s="7">
        <v>1.631</v>
      </c>
      <c r="L129" s="7">
        <v>16.944</v>
      </c>
      <c r="M129" s="1">
        <v>1.6796</v>
      </c>
      <c r="N129" s="14"/>
      <c r="O129" s="32" t="s">
        <v>291</v>
      </c>
      <c r="P129" s="7">
        <v>1.6923</v>
      </c>
      <c r="Q129" s="49">
        <v>1.8798</v>
      </c>
    </row>
    <row r="130" spans="1:27" ht="15.311195929033905" customHeight="1">
      <c r="A130" s="1" t="s">
        <v>292</v>
      </c>
      <c r="B130" s="7">
        <v>1.14</v>
      </c>
      <c r="C130" s="7">
        <v>1.18</v>
      </c>
      <c r="D130" s="7">
        <v>1.2</v>
      </c>
      <c r="E130" s="7">
        <v>1.32</v>
      </c>
      <c r="F130" s="7">
        <v>1.22</v>
      </c>
      <c r="G130" s="7">
        <v>1.21</v>
      </c>
      <c r="H130" s="7">
        <v>1.27</v>
      </c>
      <c r="I130" s="7">
        <v>1.37</v>
      </c>
      <c r="J130" s="7">
        <v>1.36</v>
      </c>
      <c r="K130" s="7">
        <v>1.49</v>
      </c>
      <c r="L130" s="7">
        <v>1.32</v>
      </c>
      <c r="M130" s="1">
        <v>1.28</v>
      </c>
      <c r="N130" s="14"/>
      <c r="O130" s="32" t="s">
        <v>292</v>
      </c>
      <c r="P130" s="7" t="s">
        <v>590</v>
      </c>
      <c r="Q130" s="49">
        <v>1.13</v>
      </c>
    </row>
    <row r="131" spans="1:27" ht="16.792950166998406" customHeight="1">
      <c r="A131" s="1" t="s">
        <v>293</v>
      </c>
      <c r="B131" s="7">
        <v>2.08</v>
      </c>
      <c r="C131" s="7">
        <v>2.2</v>
      </c>
      <c r="D131" s="7">
        <v>2.22</v>
      </c>
      <c r="E131" s="7">
        <v>2.2</v>
      </c>
      <c r="F131" s="7">
        <v>2.2</v>
      </c>
      <c r="G131" s="7">
        <v>2.41</v>
      </c>
      <c r="H131" s="7">
        <v>2.41</v>
      </c>
      <c r="I131" s="7">
        <v>2.44</v>
      </c>
      <c r="J131" s="7">
        <v>2.43</v>
      </c>
      <c r="K131" s="7">
        <v>2.43</v>
      </c>
      <c r="L131" s="7">
        <v>2.5</v>
      </c>
      <c r="M131" s="1">
        <v>2.47</v>
      </c>
      <c r="N131" s="14"/>
      <c r="O131" s="32" t="s">
        <v>293</v>
      </c>
      <c r="P131" s="7">
        <v>2.39</v>
      </c>
      <c r="Q131" s="49">
        <v>2.37</v>
      </c>
    </row>
    <row r="132" spans="1:27" ht="16.79292981854208" customHeight="1">
      <c r="A132" s="1" t="s">
        <v>294</v>
      </c>
      <c r="B132" s="7">
        <v>1.504</v>
      </c>
      <c r="C132" s="7">
        <v>1.364</v>
      </c>
      <c r="D132" s="7">
        <v>1.498</v>
      </c>
      <c r="E132" s="7">
        <v>1.464</v>
      </c>
      <c r="F132" s="7">
        <v>1.443</v>
      </c>
      <c r="G132" s="7">
        <v>1.392</v>
      </c>
      <c r="H132" s="7">
        <v>1.444</v>
      </c>
      <c r="I132" s="7">
        <v>1.559</v>
      </c>
      <c r="J132" s="7">
        <v>1.606</v>
      </c>
      <c r="K132" s="7">
        <v>1.788</v>
      </c>
      <c r="L132" s="7">
        <v>1.704</v>
      </c>
      <c r="M132" s="1">
        <v>1.5286</v>
      </c>
      <c r="N132" s="14"/>
      <c r="O132" s="32" t="s">
        <v>294</v>
      </c>
      <c r="P132" s="7">
        <v>1.5746</v>
      </c>
      <c r="Q132" s="49">
        <v>1.3642</v>
      </c>
    </row>
    <row r="133" spans="1:27">
      <c r="A133" s="1" t="s">
        <v>295</v>
      </c>
      <c r="B133" s="7">
        <v>3.85</v>
      </c>
      <c r="C133" s="7">
        <v>3.92</v>
      </c>
      <c r="D133" s="7">
        <v>5.05</v>
      </c>
      <c r="E133" s="7">
        <v>4.16</v>
      </c>
      <c r="F133" s="7">
        <v>4.54</v>
      </c>
      <c r="G133" s="7">
        <v>4.68</v>
      </c>
      <c r="H133" s="7">
        <v>4.67</v>
      </c>
      <c r="I133" s="7">
        <v>4.72</v>
      </c>
      <c r="J133" s="7">
        <v>4.8</v>
      </c>
      <c r="K133" s="7">
        <v>4.84</v>
      </c>
      <c r="L133" s="7">
        <v>4.82</v>
      </c>
      <c r="M133" s="1">
        <v>4.78</v>
      </c>
      <c r="N133" s="14"/>
      <c r="O133" s="32" t="s">
        <v>295</v>
      </c>
      <c r="P133" s="7">
        <v>1.95</v>
      </c>
      <c r="Q133" s="49">
        <v>4.77</v>
      </c>
    </row>
    <row r="134" spans="1:27" ht="14.646760237694556" customHeight="1">
      <c r="A134" s="1" t="s">
        <v>296</v>
      </c>
      <c r="B134" s="7">
        <v>1.25</v>
      </c>
      <c r="C134" s="7">
        <v>1.33</v>
      </c>
      <c r="D134" s="7">
        <v>1.31</v>
      </c>
      <c r="E134" s="7">
        <v>1.33</v>
      </c>
      <c r="F134" s="7">
        <v>1.29</v>
      </c>
      <c r="G134" s="7">
        <v>1.36</v>
      </c>
      <c r="H134" s="7">
        <v>1.35</v>
      </c>
      <c r="I134" s="7">
        <v>1.38</v>
      </c>
      <c r="J134" s="7">
        <v>1.41</v>
      </c>
      <c r="K134" s="7">
        <v>1.47</v>
      </c>
      <c r="L134" s="7">
        <v>1.62</v>
      </c>
      <c r="M134" s="1">
        <v>1.69</v>
      </c>
      <c r="N134" s="14"/>
      <c r="O134" s="32" t="s">
        <v>296</v>
      </c>
      <c r="P134" s="7">
        <v>1.68</v>
      </c>
      <c r="Q134" s="49">
        <v>1.66</v>
      </c>
    </row>
    <row r="135" spans="1:27" ht="16.79292981854208" customHeight="1">
      <c r="A135" s="1" t="s">
        <v>297</v>
      </c>
      <c r="B135" s="7">
        <v>3.211</v>
      </c>
      <c r="C135" s="7">
        <v>3.363</v>
      </c>
      <c r="D135" s="7">
        <v>3.203</v>
      </c>
      <c r="E135" s="7">
        <v>3.176</v>
      </c>
      <c r="F135" s="7">
        <v>3.277</v>
      </c>
      <c r="G135" s="7">
        <v>4</v>
      </c>
      <c r="H135" s="7">
        <v>3.872</v>
      </c>
      <c r="I135" s="7">
        <v>4.406</v>
      </c>
      <c r="J135" s="7">
        <v>4.374</v>
      </c>
      <c r="K135" s="7">
        <v>4.365</v>
      </c>
      <c r="L135" s="7">
        <v>4.554</v>
      </c>
      <c r="M135" s="1">
        <v>3.5121</v>
      </c>
      <c r="N135" s="14"/>
      <c r="O135" s="32" t="s">
        <v>297</v>
      </c>
      <c r="P135" s="7">
        <v>7.4254</v>
      </c>
      <c r="Q135" s="49">
        <v>8.0809</v>
      </c>
    </row>
    <row r="136" spans="1:27">
      <c r="A136" s="8"/>
      <c r="B136" s="3"/>
      <c r="C136" s="3"/>
      <c r="D136" s="3"/>
      <c r="E136" s="3"/>
      <c r="F136" s="3"/>
      <c r="G136" s="3"/>
      <c r="H136" s="3"/>
      <c r="I136" s="3"/>
      <c r="M136" s="8"/>
      <c r="N136" s="14"/>
      <c r="O136" s="33" t="s">
        <v>538</v>
      </c>
      <c r="P136" s="62">
        <f>average(P88:P135)</f>
        <v>45.507672340426</v>
      </c>
    </row>
    <row r="137" spans="1:27">
      <c r="A137" s="8"/>
      <c r="B137" s="3"/>
      <c r="C137" s="3"/>
      <c r="D137" s="3"/>
      <c r="E137" s="3"/>
      <c r="F137" s="3"/>
      <c r="G137" s="3"/>
      <c r="H137" s="3"/>
      <c r="I137" s="3"/>
      <c r="M137" s="8"/>
      <c r="N137" s="14"/>
      <c r="O137" s="33"/>
      <c r="P137" s="63"/>
    </row>
    <row r="138" spans="1:27">
      <c r="A138" s="8" t="s">
        <v>591</v>
      </c>
      <c r="D138" s="3" t="s">
        <v>592</v>
      </c>
      <c r="E138" s="3"/>
      <c r="F138" s="3"/>
      <c r="G138" s="3"/>
      <c r="H138" s="3"/>
      <c r="I138" s="3"/>
      <c r="M138" s="8"/>
      <c r="N138" s="14"/>
      <c r="O138" s="33"/>
      <c r="P138" s="3"/>
    </row>
    <row r="139" spans="1:27">
      <c r="A139" s="8" t="s">
        <v>301</v>
      </c>
      <c r="B139" t="s">
        <v>593</v>
      </c>
      <c r="D139" s="3" t="s">
        <v>300</v>
      </c>
      <c r="E139" s="3" t="s">
        <v>301</v>
      </c>
      <c r="F139" s="3" t="s">
        <v>594</v>
      </c>
      <c r="G139" s="3"/>
      <c r="H139" s="3"/>
      <c r="I139" s="3"/>
      <c r="M139" s="8"/>
      <c r="N139" s="14"/>
      <c r="O139" s="33"/>
      <c r="P139" s="3"/>
    </row>
    <row r="140" spans="1:27">
      <c r="A140" s="8" t="s">
        <v>544</v>
      </c>
      <c r="B140" s="49">
        <v>3.27</v>
      </c>
      <c r="C140" s="49"/>
      <c r="D140" s="3">
        <v>1</v>
      </c>
      <c r="E140" s="3" t="s">
        <v>544</v>
      </c>
      <c r="F140" s="3" t="s">
        <v>595</v>
      </c>
      <c r="G140" s="3"/>
      <c r="H140" s="3"/>
      <c r="I140" s="3"/>
      <c r="M140" s="8"/>
      <c r="N140" s="14"/>
      <c r="O140" s="33"/>
      <c r="P140" s="3"/>
    </row>
    <row r="141" spans="1:27">
      <c r="A141" s="8" t="s">
        <v>551</v>
      </c>
      <c r="B141" s="49">
        <v>2.5702</v>
      </c>
      <c r="C141" s="49"/>
      <c r="D141" s="3">
        <v>2</v>
      </c>
      <c r="E141" s="3" t="s">
        <v>313</v>
      </c>
      <c r="F141" s="3" t="s">
        <v>596</v>
      </c>
      <c r="G141" s="3"/>
      <c r="H141" s="3"/>
      <c r="I141" s="3"/>
      <c r="M141" s="8"/>
      <c r="N141" s="14"/>
      <c r="O141" s="33"/>
      <c r="P141" s="3"/>
    </row>
    <row r="142" spans="1:27">
      <c r="A142" s="8" t="s">
        <v>499</v>
      </c>
      <c r="B142" s="49">
        <v>2.4139</v>
      </c>
      <c r="C142" s="49"/>
      <c r="D142" s="3">
        <v>3</v>
      </c>
      <c r="E142" s="3" t="s">
        <v>306</v>
      </c>
      <c r="F142" s="3" t="s">
        <v>597</v>
      </c>
      <c r="G142" s="3"/>
      <c r="H142" s="3"/>
      <c r="I142" s="3"/>
      <c r="M142" s="8"/>
      <c r="N142" s="14"/>
      <c r="O142" s="33"/>
      <c r="P142" s="3"/>
    </row>
    <row r="143" spans="1:27">
      <c r="A143" s="8" t="s">
        <v>554</v>
      </c>
      <c r="B143" s="49">
        <v>2.398</v>
      </c>
      <c r="C143" s="49"/>
      <c r="D143" s="3">
        <v>4</v>
      </c>
      <c r="E143" s="3" t="s">
        <v>551</v>
      </c>
      <c r="F143" s="3" t="s">
        <v>598</v>
      </c>
      <c r="G143" s="3"/>
      <c r="H143" s="3"/>
      <c r="I143" s="3"/>
      <c r="M143" s="8"/>
      <c r="N143" s="14"/>
      <c r="O143" s="33"/>
      <c r="P143" s="3"/>
    </row>
    <row r="144" spans="1:27">
      <c r="A144" s="8" t="s">
        <v>599</v>
      </c>
      <c r="B144" s="49">
        <v>2.36</v>
      </c>
      <c r="C144" s="49"/>
      <c r="D144" s="3">
        <v>5</v>
      </c>
      <c r="E144" s="3" t="s">
        <v>600</v>
      </c>
      <c r="F144" s="3" t="s">
        <v>601</v>
      </c>
      <c r="G144" s="3"/>
      <c r="H144" s="3"/>
      <c r="I144" s="3"/>
      <c r="M144" s="8"/>
      <c r="N144" s="14"/>
      <c r="O144" s="33"/>
      <c r="P144" s="3"/>
    </row>
    <row r="145" spans="1:27">
      <c r="A145" s="8" t="s">
        <v>306</v>
      </c>
      <c r="B145" s="49">
        <v>2.3564</v>
      </c>
      <c r="C145" s="49"/>
      <c r="D145" s="3">
        <v>6</v>
      </c>
      <c r="E145" s="3" t="s">
        <v>317</v>
      </c>
      <c r="F145" s="3" t="s">
        <v>602</v>
      </c>
      <c r="G145" s="3"/>
      <c r="H145" s="3"/>
      <c r="I145" s="3"/>
      <c r="M145" s="8"/>
      <c r="N145" s="14"/>
      <c r="O145" s="33"/>
      <c r="P145" s="3"/>
    </row>
    <row r="146" spans="1:27">
      <c r="A146" s="8" t="s">
        <v>600</v>
      </c>
      <c r="B146" s="49">
        <v>2.2754</v>
      </c>
      <c r="C146" s="49"/>
      <c r="D146" s="3">
        <v>7</v>
      </c>
      <c r="E146" s="3" t="s">
        <v>561</v>
      </c>
      <c r="F146" s="3" t="s">
        <v>603</v>
      </c>
      <c r="G146" s="3"/>
      <c r="H146" s="3"/>
      <c r="I146" s="3"/>
      <c r="M146" s="8"/>
      <c r="N146" s="14"/>
      <c r="O146" s="33"/>
      <c r="P146" s="3"/>
    </row>
    <row r="147" spans="1:27">
      <c r="A147" s="8" t="s">
        <v>315</v>
      </c>
      <c r="B147" s="49">
        <v>2.1762</v>
      </c>
      <c r="C147" s="49"/>
      <c r="D147" s="3">
        <v>8</v>
      </c>
      <c r="E147" s="3" t="s">
        <v>560</v>
      </c>
      <c r="F147" s="3" t="s">
        <v>604</v>
      </c>
      <c r="G147" s="3"/>
      <c r="H147" s="3"/>
      <c r="I147" s="3"/>
      <c r="M147" s="8"/>
      <c r="N147" s="14"/>
      <c r="O147" s="33"/>
      <c r="P147" s="3"/>
    </row>
    <row r="148" spans="1:27">
      <c r="A148" s="8" t="s">
        <v>546</v>
      </c>
      <c r="B148" s="49">
        <v>2.1507</v>
      </c>
      <c r="C148" s="49"/>
      <c r="D148" s="3">
        <v>9</v>
      </c>
      <c r="E148" s="3" t="s">
        <v>558</v>
      </c>
      <c r="F148" s="3" t="s">
        <v>605</v>
      </c>
      <c r="G148" s="3"/>
      <c r="H148" s="3"/>
      <c r="I148" s="3"/>
      <c r="M148" s="8"/>
      <c r="N148" s="14"/>
      <c r="O148" s="33"/>
      <c r="P148" s="3"/>
    </row>
    <row r="149" spans="1:27">
      <c r="A149" s="8" t="s">
        <v>317</v>
      </c>
      <c r="B149" s="49">
        <v>2.1086</v>
      </c>
      <c r="C149" s="49"/>
      <c r="D149" s="3">
        <v>10</v>
      </c>
      <c r="E149" s="3" t="s">
        <v>554</v>
      </c>
      <c r="F149" s="3" t="s">
        <v>606</v>
      </c>
      <c r="G149" s="3"/>
      <c r="H149" s="3"/>
      <c r="I149" s="3"/>
      <c r="M149" s="8"/>
      <c r="N149" s="14"/>
      <c r="O149" s="33"/>
      <c r="P149" s="3"/>
    </row>
    <row r="150" spans="1:27">
      <c r="A150" s="8"/>
      <c r="B150" s="3"/>
      <c r="C150" s="3"/>
      <c r="D150" s="3"/>
      <c r="E150" s="3"/>
      <c r="F150" s="3"/>
      <c r="G150" s="3"/>
      <c r="H150" s="3"/>
      <c r="I150" s="3"/>
      <c r="M150" s="8"/>
      <c r="N150" s="14"/>
      <c r="O150" s="33"/>
      <c r="P150" s="3"/>
    </row>
    <row r="151" spans="1:27">
      <c r="A151" s="8" t="s">
        <v>607</v>
      </c>
      <c r="C151" s="3"/>
      <c r="D151" s="3" t="s">
        <v>608</v>
      </c>
      <c r="E151" s="3"/>
      <c r="F151" s="3"/>
      <c r="G151" s="3"/>
      <c r="H151" s="3"/>
      <c r="I151" s="3"/>
      <c r="M151" s="8"/>
      <c r="N151" s="14"/>
      <c r="O151" s="33"/>
      <c r="P151" s="3"/>
    </row>
    <row r="152" spans="1:27">
      <c r="A152" s="8" t="s">
        <v>301</v>
      </c>
      <c r="B152" t="s">
        <v>593</v>
      </c>
      <c r="C152" s="3"/>
      <c r="D152" s="3"/>
      <c r="E152" s="1" t="s">
        <v>278</v>
      </c>
      <c r="F152" s="48">
        <v>7.79</v>
      </c>
      <c r="G152" s="3"/>
      <c r="H152" s="3"/>
      <c r="I152" s="3"/>
      <c r="M152" s="8"/>
      <c r="N152" s="14"/>
      <c r="O152" s="33"/>
      <c r="P152" s="3"/>
    </row>
    <row r="153" spans="1:27">
      <c r="A153" s="8" t="s">
        <v>571</v>
      </c>
      <c r="B153" s="49">
        <v>11.8384</v>
      </c>
      <c r="C153" s="3"/>
      <c r="D153" s="3"/>
      <c r="E153" s="1" t="s">
        <v>297</v>
      </c>
      <c r="F153" s="7">
        <v>7.4254</v>
      </c>
      <c r="G153" s="3"/>
      <c r="H153" s="3"/>
      <c r="I153" s="3"/>
      <c r="M153" s="8"/>
      <c r="N153" s="14"/>
      <c r="O153" s="33"/>
      <c r="P153" s="3"/>
    </row>
    <row r="154" spans="1:27">
      <c r="A154" s="8" t="s">
        <v>566</v>
      </c>
      <c r="B154" s="49">
        <v>8.25</v>
      </c>
      <c r="C154" s="3"/>
      <c r="D154" s="3"/>
      <c r="E154" s="1" t="s">
        <v>261</v>
      </c>
      <c r="F154" s="48">
        <v>6.4761</v>
      </c>
      <c r="G154" s="3"/>
      <c r="H154" s="3"/>
      <c r="I154" s="3"/>
      <c r="M154" s="8"/>
      <c r="N154" s="14"/>
      <c r="O154" s="33"/>
      <c r="P154" s="3"/>
    </row>
    <row r="155" spans="1:27">
      <c r="A155" s="8" t="s">
        <v>609</v>
      </c>
      <c r="B155" s="49">
        <v>5.4128</v>
      </c>
      <c r="C155" s="3"/>
      <c r="D155" s="3"/>
      <c r="E155" s="1" t="s">
        <v>273</v>
      </c>
      <c r="F155" s="48">
        <v>5.1995</v>
      </c>
      <c r="G155" s="3"/>
      <c r="H155" s="3"/>
      <c r="I155" s="3"/>
      <c r="M155" s="8"/>
      <c r="N155" s="14"/>
      <c r="O155" s="33"/>
      <c r="P155" s="3"/>
    </row>
    <row r="156" spans="1:27">
      <c r="A156" s="8" t="s">
        <v>610</v>
      </c>
      <c r="B156" s="49">
        <v>5.136</v>
      </c>
      <c r="C156" s="3"/>
      <c r="D156" s="3"/>
      <c r="E156" s="1" t="s">
        <v>266</v>
      </c>
      <c r="F156" s="48">
        <v>5.108</v>
      </c>
      <c r="G156" s="3"/>
      <c r="H156" s="3"/>
      <c r="I156" s="3"/>
      <c r="M156" s="8"/>
      <c r="N156" s="14"/>
      <c r="O156" s="33"/>
      <c r="P156" s="3"/>
    </row>
    <row r="157" spans="1:27">
      <c r="A157" s="8" t="s">
        <v>568</v>
      </c>
      <c r="B157" s="49">
        <v>5.1169</v>
      </c>
      <c r="C157" s="3"/>
      <c r="D157" s="3"/>
      <c r="E157" s="1" t="s">
        <v>263</v>
      </c>
      <c r="F157" s="48">
        <v>4.4029</v>
      </c>
      <c r="G157" s="3"/>
      <c r="H157" s="3"/>
      <c r="I157" s="3"/>
      <c r="M157" s="8"/>
      <c r="N157" s="14"/>
      <c r="O157" s="33"/>
      <c r="P157" s="3"/>
    </row>
    <row r="158" spans="1:27">
      <c r="A158" s="8" t="s">
        <v>611</v>
      </c>
      <c r="B158" s="49">
        <v>4.8359</v>
      </c>
      <c r="C158" s="3"/>
      <c r="D158" s="3"/>
      <c r="E158" s="1" t="s">
        <v>274</v>
      </c>
      <c r="F158" s="48">
        <v>4.08</v>
      </c>
      <c r="G158" s="3"/>
      <c r="H158" s="3"/>
      <c r="I158" s="3"/>
      <c r="M158" s="8"/>
      <c r="N158" s="14"/>
      <c r="O158" s="33"/>
      <c r="P158" s="3"/>
    </row>
    <row r="159" spans="1:27">
      <c r="A159" s="8" t="s">
        <v>335</v>
      </c>
      <c r="B159" s="49">
        <v>4.78</v>
      </c>
      <c r="C159" s="3"/>
      <c r="D159" s="3"/>
      <c r="E159" s="1" t="s">
        <v>259</v>
      </c>
      <c r="F159" s="48">
        <v>3.3689</v>
      </c>
      <c r="G159" s="3"/>
      <c r="H159" s="3"/>
      <c r="I159" s="3"/>
      <c r="M159" s="8"/>
      <c r="N159" s="14"/>
      <c r="O159" s="33"/>
      <c r="P159" s="3"/>
    </row>
    <row r="160" spans="1:27">
      <c r="A160" s="8" t="s">
        <v>570</v>
      </c>
      <c r="B160" s="49">
        <v>4.45</v>
      </c>
      <c r="C160" s="3"/>
      <c r="D160" s="3"/>
      <c r="E160" s="1" t="s">
        <v>252</v>
      </c>
      <c r="F160" s="48">
        <v>3.22</v>
      </c>
      <c r="G160" s="3"/>
      <c r="H160" s="3"/>
      <c r="I160" s="3"/>
      <c r="M160" s="8"/>
      <c r="N160" s="14"/>
      <c r="O160" s="33"/>
      <c r="P160" s="3"/>
    </row>
    <row r="161" spans="1:27">
      <c r="A161" s="8" t="s">
        <v>612</v>
      </c>
      <c r="B161" s="49">
        <v>3.636</v>
      </c>
      <c r="C161" s="3"/>
      <c r="D161" s="3"/>
      <c r="E161" s="1" t="s">
        <v>272</v>
      </c>
      <c r="F161" s="48">
        <v>2.9203</v>
      </c>
      <c r="G161" s="3"/>
      <c r="H161" s="3"/>
      <c r="I161" s="3"/>
      <c r="M161" s="8"/>
      <c r="N161" s="14"/>
      <c r="O161" s="33"/>
      <c r="P161" s="3"/>
    </row>
    <row r="162" spans="1:27">
      <c r="A162" s="8" t="s">
        <v>613</v>
      </c>
      <c r="B162" s="49">
        <v>3.548</v>
      </c>
      <c r="C162" s="3"/>
      <c r="D162" s="3"/>
      <c r="G162" s="3"/>
      <c r="H162" s="3"/>
      <c r="I162" s="3"/>
      <c r="M162" s="8"/>
      <c r="N162" s="14"/>
      <c r="O162" s="33"/>
      <c r="P16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J113"/>
  <sheetViews>
    <sheetView workbookViewId="0"/>
  </sheetViews>
  <sheetFormatPr defaultRowHeight="15"/>
  <cols>
    <col min="2" max="2" width="21.85546875" customWidth="1"/>
    <col min="16" max="16" width="24.28515625" customWidth="1"/>
    <col min="35" max="35" width="21.42578125" customWidth="1"/>
    <col min="36" max="36" width="19" customWidth="1"/>
  </cols>
  <sheetData>
    <row r="1" spans="1:36" ht="24.666666666666668" customHeight="1">
      <c r="A1" t="s">
        <v>614</v>
      </c>
      <c r="T1" t="s">
        <v>615</v>
      </c>
      <c r="U1" s="2" t="s">
        <v>616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4.666666666666668" customHeight="1">
      <c r="A2" t="s">
        <v>617</v>
      </c>
      <c r="T2" t="s">
        <v>615</v>
      </c>
      <c r="U2" s="2" t="s">
        <v>618</v>
      </c>
      <c r="V2" s="2" t="s">
        <v>619</v>
      </c>
      <c r="W2" s="2" t="s">
        <v>620</v>
      </c>
      <c r="X2" s="2" t="s">
        <v>621</v>
      </c>
      <c r="Y2" s="2" t="s">
        <v>622</v>
      </c>
      <c r="Z2" s="2" t="s">
        <v>623</v>
      </c>
      <c r="AA2" s="2" t="s">
        <v>624</v>
      </c>
      <c r="AB2" s="2" t="s">
        <v>625</v>
      </c>
      <c r="AC2" s="2" t="s">
        <v>626</v>
      </c>
      <c r="AD2" s="2" t="s">
        <v>627</v>
      </c>
      <c r="AE2" s="2" t="s">
        <v>628</v>
      </c>
      <c r="AF2" s="2" t="s">
        <v>629</v>
      </c>
      <c r="AG2" s="2" t="s">
        <v>630</v>
      </c>
      <c r="AH2" s="2" t="s">
        <v>631</v>
      </c>
      <c r="AI2" s="2" t="s">
        <v>632</v>
      </c>
      <c r="AJ2" s="2" t="s">
        <v>633</v>
      </c>
    </row>
    <row r="3" spans="1:36" ht="24.666666666666668" customHeight="1">
      <c r="T3" t="s">
        <v>615</v>
      </c>
      <c r="U3" s="2">
        <v>1</v>
      </c>
      <c r="V3" s="2" t="s">
        <v>634</v>
      </c>
      <c r="W3" s="2">
        <v>4923973.71</v>
      </c>
      <c r="X3" s="2">
        <v>110347.58</v>
      </c>
      <c r="Y3" s="2" t="s">
        <v>635</v>
      </c>
      <c r="Z3" s="2" t="s">
        <v>635</v>
      </c>
      <c r="AA3" s="2" t="s">
        <v>635</v>
      </c>
      <c r="AB3" s="2" t="s">
        <v>635</v>
      </c>
      <c r="AC3" s="2">
        <v>93091.45</v>
      </c>
      <c r="AD3" s="2" t="s">
        <v>635</v>
      </c>
      <c r="AE3" s="2" t="s">
        <v>635</v>
      </c>
      <c r="AF3" s="2">
        <v>39391.71</v>
      </c>
      <c r="AG3" s="2">
        <v>4759926.39</v>
      </c>
      <c r="AH3" s="2">
        <v>2200347.78</v>
      </c>
      <c r="AI3" s="2">
        <v>2251483.7</v>
      </c>
      <c r="AJ3" s="2">
        <v>4708790.47</v>
      </c>
    </row>
    <row r="4" spans="1:36" ht="24.666666666666668" customHeight="1">
      <c r="A4" t="s">
        <v>636</v>
      </c>
      <c r="T4" t="s">
        <v>615</v>
      </c>
      <c r="U4" s="2">
        <v>2</v>
      </c>
      <c r="V4" s="2" t="s">
        <v>637</v>
      </c>
      <c r="W4" s="2">
        <v>454263.42</v>
      </c>
      <c r="X4" s="2">
        <v>73607.08</v>
      </c>
      <c r="Y4" s="2">
        <v>6330.47</v>
      </c>
      <c r="Z4" s="2" t="s">
        <v>635</v>
      </c>
      <c r="AA4" s="2" t="s">
        <v>635</v>
      </c>
      <c r="AB4" s="2">
        <v>1498.35</v>
      </c>
      <c r="AC4" s="2">
        <v>87977.88</v>
      </c>
      <c r="AD4" s="2">
        <v>108426.21</v>
      </c>
      <c r="AE4" s="2">
        <v>60040.69</v>
      </c>
      <c r="AF4" s="2">
        <v>55060.34</v>
      </c>
      <c r="AG4" s="2">
        <v>184104.02</v>
      </c>
      <c r="AH4" s="2">
        <v>98895.16</v>
      </c>
      <c r="AI4" s="2">
        <v>117418.83</v>
      </c>
      <c r="AJ4" s="2">
        <v>165580.35</v>
      </c>
    </row>
    <row r="5" spans="1:36" ht="24.666666666666668" customHeight="1">
      <c r="A5" t="s">
        <v>638</v>
      </c>
      <c r="T5" t="s">
        <v>615</v>
      </c>
      <c r="U5" s="2">
        <v>3</v>
      </c>
      <c r="V5" s="2" t="s">
        <v>639</v>
      </c>
      <c r="W5" s="2">
        <v>192081.75</v>
      </c>
      <c r="X5" s="2">
        <v>6216.33</v>
      </c>
      <c r="Y5" s="2">
        <v>43.41</v>
      </c>
      <c r="Z5" s="2" t="s">
        <v>635</v>
      </c>
      <c r="AA5" s="2" t="s">
        <v>635</v>
      </c>
      <c r="AB5" s="2" t="s">
        <v>635</v>
      </c>
      <c r="AC5" s="2">
        <v>101014.65</v>
      </c>
      <c r="AD5" s="2">
        <v>6552.29</v>
      </c>
      <c r="AE5" s="2" t="s">
        <v>635</v>
      </c>
      <c r="AF5" s="2">
        <v>27945.91</v>
      </c>
      <c r="AG5" s="2">
        <v>106287.8</v>
      </c>
      <c r="AH5" s="2">
        <v>49132.66</v>
      </c>
      <c r="AI5" s="2">
        <v>50875.74</v>
      </c>
      <c r="AJ5" s="2">
        <v>104544.71</v>
      </c>
    </row>
    <row r="6" spans="1:36" ht="24.666666666666668" customHeight="1">
      <c r="A6" t="s">
        <v>640</v>
      </c>
      <c r="T6" t="s">
        <v>615</v>
      </c>
      <c r="U6" s="2">
        <v>4</v>
      </c>
      <c r="V6" s="2" t="s">
        <v>304</v>
      </c>
      <c r="W6" s="2">
        <v>7543276.56</v>
      </c>
      <c r="X6" s="2">
        <v>913690.14</v>
      </c>
      <c r="Y6" s="2">
        <v>380812.98</v>
      </c>
      <c r="Z6" s="2" t="s">
        <v>635</v>
      </c>
      <c r="AA6" s="2" t="s">
        <v>635</v>
      </c>
      <c r="AB6" s="2" t="s">
        <v>635</v>
      </c>
      <c r="AC6" s="2">
        <v>424022.25</v>
      </c>
      <c r="AD6" s="2">
        <v>686233.84</v>
      </c>
      <c r="AE6" s="2">
        <v>480167.14</v>
      </c>
      <c r="AF6" s="2">
        <v>216047.15</v>
      </c>
      <c r="AG6" s="2">
        <v>5636023.31</v>
      </c>
      <c r="AH6" s="2">
        <v>1950993.71</v>
      </c>
      <c r="AI6" s="2">
        <v>2245987.08</v>
      </c>
      <c r="AJ6" s="2">
        <v>5341029.94</v>
      </c>
    </row>
    <row r="7" spans="1:36" ht="24.666666666666668" customHeight="1">
      <c r="A7" t="s">
        <v>641</v>
      </c>
      <c r="P7" t="s">
        <v>642</v>
      </c>
      <c r="T7" t="s">
        <v>615</v>
      </c>
      <c r="U7" s="2">
        <v>5</v>
      </c>
      <c r="V7" s="2" t="s">
        <v>643</v>
      </c>
      <c r="W7" s="2">
        <v>403522.12</v>
      </c>
      <c r="X7" s="2">
        <v>34633.3</v>
      </c>
      <c r="Y7" s="2">
        <v>14.19</v>
      </c>
      <c r="Z7" s="2" t="s">
        <v>635</v>
      </c>
      <c r="AA7" s="2" t="s">
        <v>635</v>
      </c>
      <c r="AB7" s="2" t="s">
        <v>635</v>
      </c>
      <c r="AC7" s="2">
        <v>184372.23</v>
      </c>
      <c r="AD7" s="2">
        <v>8598.16</v>
      </c>
      <c r="AE7" s="2">
        <v>4797.41</v>
      </c>
      <c r="AF7" s="2">
        <v>48931.52</v>
      </c>
      <c r="AG7" s="2">
        <v>220066.73</v>
      </c>
      <c r="AH7" s="2">
        <v>92137.9</v>
      </c>
      <c r="AI7" s="2">
        <v>107647.3</v>
      </c>
      <c r="AJ7" s="2">
        <v>204557.34</v>
      </c>
    </row>
    <row r="8" spans="1:36" ht="24.666666666666668" customHeight="1">
      <c r="A8" t="s">
        <v>644</v>
      </c>
      <c r="P8" t="s">
        <v>645</v>
      </c>
      <c r="T8" t="s">
        <v>615</v>
      </c>
      <c r="U8" s="2">
        <v>6</v>
      </c>
      <c r="V8" s="2" t="s">
        <v>646</v>
      </c>
      <c r="W8" s="2">
        <v>4459312.65</v>
      </c>
      <c r="X8" s="2">
        <v>819493.58</v>
      </c>
      <c r="Y8" s="2">
        <v>23913.41</v>
      </c>
      <c r="Z8" s="2" t="s">
        <v>635</v>
      </c>
      <c r="AA8" s="2" t="s">
        <v>635</v>
      </c>
      <c r="AB8" s="2">
        <v>7329.61</v>
      </c>
      <c r="AC8" s="2">
        <v>652317.09</v>
      </c>
      <c r="AD8" s="2" t="s">
        <v>635</v>
      </c>
      <c r="AE8" s="2" t="s">
        <v>635</v>
      </c>
      <c r="AF8" s="2">
        <v>177431.12</v>
      </c>
      <c r="AG8" s="2">
        <v>3181516.89</v>
      </c>
      <c r="AH8" s="2">
        <v>1712276.57</v>
      </c>
      <c r="AI8" s="2">
        <v>19800950.65</v>
      </c>
      <c r="AJ8" s="2">
        <v>-14907157.19</v>
      </c>
    </row>
    <row r="9" spans="1:36" ht="24.666666666666668" customHeight="1">
      <c r="E9" t="s">
        <v>647</v>
      </c>
      <c r="N9" t="s">
        <v>648</v>
      </c>
      <c r="T9" t="s">
        <v>615</v>
      </c>
      <c r="U9" s="2">
        <v>7</v>
      </c>
      <c r="V9" s="2" t="s">
        <v>649</v>
      </c>
      <c r="W9" s="2">
        <v>188017.81</v>
      </c>
      <c r="X9" s="2">
        <v>40783.78</v>
      </c>
      <c r="Y9" s="2">
        <v>45728.1</v>
      </c>
      <c r="Z9" s="2" t="s">
        <v>635</v>
      </c>
      <c r="AA9" s="2" t="s">
        <v>635</v>
      </c>
      <c r="AB9" s="2">
        <v>12030.2</v>
      </c>
      <c r="AC9" s="2" t="s">
        <v>635</v>
      </c>
      <c r="AD9" s="2">
        <v>132905.79</v>
      </c>
      <c r="AE9" s="2" t="s">
        <v>635</v>
      </c>
      <c r="AF9" s="2">
        <v>24922.78</v>
      </c>
      <c r="AG9" s="2">
        <v>72948.92</v>
      </c>
      <c r="AH9" s="2">
        <v>20357.09</v>
      </c>
      <c r="AI9" s="2">
        <v>25538.88</v>
      </c>
      <c r="AJ9" s="2">
        <v>67767.13</v>
      </c>
    </row>
    <row r="10" spans="1:36" ht="24.666666666666668" customHeight="1">
      <c r="E10" t="s">
        <v>650</v>
      </c>
      <c r="I10" t="s">
        <v>651</v>
      </c>
      <c r="N10" t="s">
        <v>652</v>
      </c>
      <c r="T10" t="s">
        <v>615</v>
      </c>
      <c r="U10" s="2">
        <v>8</v>
      </c>
      <c r="V10" s="2" t="s">
        <v>653</v>
      </c>
      <c r="W10" s="2">
        <v>308846.39</v>
      </c>
      <c r="X10" s="2">
        <v>47161.04</v>
      </c>
      <c r="Y10" s="2">
        <v>27113.65</v>
      </c>
      <c r="Z10" s="2" t="s">
        <v>635</v>
      </c>
      <c r="AA10" s="2" t="s">
        <v>635</v>
      </c>
      <c r="AB10" s="2">
        <v>6776.03</v>
      </c>
      <c r="AC10" s="2">
        <v>82656.85</v>
      </c>
      <c r="AD10" s="2" t="s">
        <v>635</v>
      </c>
      <c r="AE10" s="2" t="s">
        <v>635</v>
      </c>
      <c r="AF10" s="2">
        <v>20978.66</v>
      </c>
      <c r="AG10" s="2">
        <v>220344.78</v>
      </c>
      <c r="AH10" s="2">
        <v>310875.51</v>
      </c>
      <c r="AI10" s="2">
        <v>349793.91</v>
      </c>
      <c r="AJ10" s="2">
        <v>181426.38</v>
      </c>
    </row>
    <row r="11" spans="1:36" ht="24.666666666666668" customHeight="1">
      <c r="A11" t="s">
        <v>618</v>
      </c>
      <c r="B11" t="s">
        <v>654</v>
      </c>
      <c r="C11" t="s">
        <v>655</v>
      </c>
      <c r="D11" t="s">
        <v>656</v>
      </c>
      <c r="E11" t="s">
        <v>657</v>
      </c>
      <c r="F11" t="s">
        <v>623</v>
      </c>
      <c r="G11" t="s">
        <v>658</v>
      </c>
      <c r="H11" t="s">
        <v>656</v>
      </c>
      <c r="I11" t="s">
        <v>657</v>
      </c>
      <c r="J11" t="s">
        <v>623</v>
      </c>
      <c r="K11" t="s">
        <v>658</v>
      </c>
      <c r="L11" t="s">
        <v>656</v>
      </c>
      <c r="M11" t="s">
        <v>659</v>
      </c>
      <c r="N11" t="s">
        <v>660</v>
      </c>
      <c r="O11" t="s">
        <v>661</v>
      </c>
      <c r="P11" t="s">
        <v>662</v>
      </c>
      <c r="T11" t="s">
        <v>615</v>
      </c>
      <c r="U11" s="2">
        <v>9</v>
      </c>
      <c r="V11" s="2" t="s">
        <v>663</v>
      </c>
      <c r="W11" s="2">
        <v>315751.37</v>
      </c>
      <c r="X11" s="2">
        <v>59962.81</v>
      </c>
      <c r="Y11" s="2">
        <v>1289.98</v>
      </c>
      <c r="Z11" s="2" t="s">
        <v>635</v>
      </c>
      <c r="AA11" s="2" t="s">
        <v>635</v>
      </c>
      <c r="AB11" s="2">
        <v>289.84</v>
      </c>
      <c r="AC11" s="2">
        <v>141817.8</v>
      </c>
      <c r="AD11" s="2">
        <v>29688.99</v>
      </c>
      <c r="AE11" s="2" t="s">
        <v>635</v>
      </c>
      <c r="AF11" s="2">
        <v>40928.59</v>
      </c>
      <c r="AG11" s="2">
        <v>126210.5</v>
      </c>
      <c r="AH11" s="2">
        <v>89431.74</v>
      </c>
      <c r="AI11" s="2">
        <v>68658.89</v>
      </c>
      <c r="AJ11" s="2">
        <v>146983.35</v>
      </c>
    </row>
    <row r="12" spans="1:36" ht="24.666666666666668" customHeight="1">
      <c r="A12" t="s">
        <v>618</v>
      </c>
      <c r="B12" t="s">
        <v>619</v>
      </c>
      <c r="C12" t="s">
        <v>620</v>
      </c>
      <c r="D12" t="s">
        <v>621</v>
      </c>
      <c r="E12" t="s">
        <v>622</v>
      </c>
      <c r="F12" t="s">
        <v>623</v>
      </c>
      <c r="G12" t="s">
        <v>624</v>
      </c>
      <c r="H12" t="s">
        <v>621</v>
      </c>
      <c r="I12" t="s">
        <v>622</v>
      </c>
      <c r="J12" t="s">
        <v>623</v>
      </c>
      <c r="K12" t="s">
        <v>624</v>
      </c>
      <c r="L12" t="s">
        <v>621</v>
      </c>
      <c r="M12" t="s">
        <v>630</v>
      </c>
      <c r="N12" t="s">
        <v>631</v>
      </c>
      <c r="O12" t="s">
        <v>632</v>
      </c>
      <c r="P12" t="s">
        <v>633</v>
      </c>
      <c r="T12" t="s">
        <v>615</v>
      </c>
      <c r="U12" s="2">
        <v>10</v>
      </c>
      <c r="V12" s="2" t="s">
        <v>664</v>
      </c>
      <c r="W12" s="2">
        <v>225698.28</v>
      </c>
      <c r="X12" s="2">
        <v>39151.35</v>
      </c>
      <c r="Y12" s="2">
        <v>2339.92</v>
      </c>
      <c r="Z12" s="2" t="s">
        <v>635</v>
      </c>
      <c r="AA12" s="2" t="s">
        <v>635</v>
      </c>
      <c r="AB12" s="2" t="s">
        <v>635</v>
      </c>
      <c r="AC12" s="2">
        <v>48217.18</v>
      </c>
      <c r="AD12" s="2" t="s">
        <v>635</v>
      </c>
      <c r="AE12" s="2" t="s">
        <v>635</v>
      </c>
      <c r="AF12" s="2">
        <v>8821.27</v>
      </c>
      <c r="AG12" s="2">
        <v>149490.94</v>
      </c>
      <c r="AH12" s="2">
        <v>38288.05</v>
      </c>
      <c r="AI12" s="2">
        <v>35363.44</v>
      </c>
      <c r="AJ12" s="2">
        <v>152415.55</v>
      </c>
    </row>
    <row r="13" spans="1:36" ht="24.666666666666668" customHeight="1">
      <c r="A13">
        <v>-1</v>
      </c>
      <c r="B13">
        <v>-2</v>
      </c>
      <c r="C13">
        <v>-3</v>
      </c>
      <c r="D13">
        <v>-4</v>
      </c>
      <c r="E13">
        <v>-5</v>
      </c>
      <c r="F13">
        <v>-6</v>
      </c>
      <c r="G13">
        <v>-7</v>
      </c>
      <c r="H13">
        <v>-8</v>
      </c>
      <c r="I13">
        <v>-9</v>
      </c>
      <c r="J13">
        <v>-10</v>
      </c>
      <c r="K13">
        <v>-11</v>
      </c>
      <c r="L13">
        <v>-12</v>
      </c>
      <c r="M13">
        <v>-13</v>
      </c>
      <c r="N13">
        <v>-14</v>
      </c>
      <c r="O13">
        <v>-15</v>
      </c>
      <c r="P13">
        <v>-16</v>
      </c>
      <c r="T13" t="s">
        <v>615</v>
      </c>
      <c r="U13" s="2">
        <v>11</v>
      </c>
      <c r="V13" s="2" t="s">
        <v>317</v>
      </c>
      <c r="W13" s="2">
        <v>3843383.91</v>
      </c>
      <c r="X13" s="2">
        <v>339995.9</v>
      </c>
      <c r="Y13" s="2">
        <v>10813.74</v>
      </c>
      <c r="Z13" s="2" t="s">
        <v>635</v>
      </c>
      <c r="AA13" s="2" t="s">
        <v>635</v>
      </c>
      <c r="AB13" s="2">
        <v>2881.72</v>
      </c>
      <c r="AC13" s="2">
        <v>2055355.84</v>
      </c>
      <c r="AD13" s="2" t="s">
        <v>635</v>
      </c>
      <c r="AE13" s="2" t="s">
        <v>635</v>
      </c>
      <c r="AF13" s="2">
        <v>445957.34</v>
      </c>
      <c r="AG13" s="2">
        <v>1901921.53</v>
      </c>
      <c r="AH13" s="2">
        <v>955575.9</v>
      </c>
      <c r="AI13" s="2">
        <v>1264917.2</v>
      </c>
      <c r="AJ13" s="2">
        <v>1592580.22</v>
      </c>
    </row>
    <row r="14" spans="1:36" ht="24.666666666666668" customHeight="1">
      <c r="T14" t="s">
        <v>615</v>
      </c>
      <c r="U14" s="2">
        <v>12</v>
      </c>
      <c r="V14" s="2" t="s">
        <v>665</v>
      </c>
      <c r="W14" s="2">
        <v>355861.74</v>
      </c>
      <c r="X14" s="2">
        <v>70352.52</v>
      </c>
      <c r="Y14" s="2">
        <v>943.83</v>
      </c>
      <c r="Z14" s="2">
        <v>73.19</v>
      </c>
      <c r="AA14" s="2" t="s">
        <v>635</v>
      </c>
      <c r="AB14" s="2">
        <v>477.36</v>
      </c>
      <c r="AC14" s="2">
        <v>115993.71</v>
      </c>
      <c r="AD14" s="2">
        <v>13991.42</v>
      </c>
      <c r="AE14" s="2" t="s">
        <v>635</v>
      </c>
      <c r="AF14" s="2">
        <v>30143.16</v>
      </c>
      <c r="AG14" s="2">
        <v>186206.91</v>
      </c>
      <c r="AH14" s="2">
        <v>114123.76</v>
      </c>
      <c r="AI14" s="2">
        <v>118067.98</v>
      </c>
      <c r="AJ14" s="2">
        <v>182262.69</v>
      </c>
    </row>
    <row r="15" spans="1:36" ht="24.666666666666668" customHeight="1">
      <c r="B15" t="s">
        <v>666</v>
      </c>
      <c r="T15" t="s">
        <v>615</v>
      </c>
      <c r="U15" s="2">
        <v>13</v>
      </c>
      <c r="V15" s="2" t="s">
        <v>667</v>
      </c>
      <c r="W15" s="2">
        <v>502257.62</v>
      </c>
      <c r="X15" s="2">
        <v>84908.55</v>
      </c>
      <c r="Y15" s="2">
        <v>12745.63</v>
      </c>
      <c r="Z15" s="2" t="s">
        <v>635</v>
      </c>
      <c r="AA15" s="2" t="s">
        <v>635</v>
      </c>
      <c r="AB15" s="2">
        <v>4909.74</v>
      </c>
      <c r="AC15" s="2">
        <v>99210.57</v>
      </c>
      <c r="AD15" s="2" t="s">
        <v>635</v>
      </c>
      <c r="AE15" s="2" t="s">
        <v>635</v>
      </c>
      <c r="AF15" s="2">
        <v>19263.91</v>
      </c>
      <c r="AG15" s="2">
        <v>345238.31</v>
      </c>
      <c r="AH15" s="2">
        <v>153632.85</v>
      </c>
      <c r="AI15" s="2">
        <v>160111.92</v>
      </c>
      <c r="AJ15" s="2">
        <v>338759.24</v>
      </c>
    </row>
    <row r="16" spans="1:36" ht="24.666666666666668" customHeight="1">
      <c r="B16" t="s">
        <v>668</v>
      </c>
      <c r="T16" t="s">
        <v>615</v>
      </c>
      <c r="U16" s="2">
        <v>14</v>
      </c>
      <c r="V16" s="2" t="s">
        <v>310</v>
      </c>
      <c r="W16" s="2">
        <v>4733633.88</v>
      </c>
      <c r="X16" s="2">
        <v>420600.41</v>
      </c>
      <c r="Y16" s="2">
        <v>101651.39</v>
      </c>
      <c r="Z16" s="2">
        <v>9037.92</v>
      </c>
      <c r="AA16" s="2">
        <v>2478.67</v>
      </c>
      <c r="AB16" s="2">
        <v>17765.76</v>
      </c>
      <c r="AC16" s="2">
        <v>1928164.12</v>
      </c>
      <c r="AD16" s="2">
        <v>844416.87</v>
      </c>
      <c r="AE16" s="2">
        <v>595878.09</v>
      </c>
      <c r="AF16" s="2">
        <v>608734.04</v>
      </c>
      <c r="AG16" s="2">
        <v>1648710.65</v>
      </c>
      <c r="AH16" s="2">
        <v>798912.89</v>
      </c>
      <c r="AI16" s="2">
        <v>843103.18</v>
      </c>
      <c r="AJ16" s="2">
        <v>1604520.36</v>
      </c>
    </row>
    <row r="17" spans="1:36" ht="24.666666666666668" customHeight="1">
      <c r="T17" t="s">
        <v>615</v>
      </c>
      <c r="U17" s="2">
        <v>15</v>
      </c>
      <c r="V17" s="2" t="s">
        <v>669</v>
      </c>
      <c r="W17" s="2">
        <v>1715619.76</v>
      </c>
      <c r="X17" s="2">
        <v>457627.69</v>
      </c>
      <c r="Y17" s="2">
        <v>11224.58</v>
      </c>
      <c r="Z17" s="2" t="s">
        <v>635</v>
      </c>
      <c r="AA17" s="2" t="s">
        <v>635</v>
      </c>
      <c r="AB17" s="2">
        <v>-2756.83</v>
      </c>
      <c r="AC17" s="2">
        <v>256075.63</v>
      </c>
      <c r="AD17" s="2">
        <v>103039.9</v>
      </c>
      <c r="AE17" s="2">
        <v>11489.99</v>
      </c>
      <c r="AF17" s="2">
        <v>127481.36</v>
      </c>
      <c r="AG17" s="2">
        <v>1028849.32</v>
      </c>
      <c r="AH17" s="2">
        <v>519373.17</v>
      </c>
      <c r="AI17" s="2">
        <v>605116.08</v>
      </c>
      <c r="AJ17" s="2">
        <v>943106.4</v>
      </c>
    </row>
    <row r="18" spans="1:36" ht="24.666666666666668" customHeight="1">
      <c r="A18">
        <v>1</v>
      </c>
      <c r="B18" t="s">
        <v>634</v>
      </c>
      <c r="C18" s="2">
        <v>4923973.71</v>
      </c>
      <c r="D18" s="2">
        <v>110347.58</v>
      </c>
      <c r="E18" t="s">
        <v>635</v>
      </c>
      <c r="F18" t="s">
        <v>635</v>
      </c>
      <c r="G18" t="s">
        <v>635</v>
      </c>
      <c r="H18" t="s">
        <v>635</v>
      </c>
      <c r="I18" s="2">
        <v>93091.45</v>
      </c>
      <c r="J18" t="s">
        <v>635</v>
      </c>
      <c r="K18" t="s">
        <v>635</v>
      </c>
      <c r="L18" s="2">
        <v>39391.71</v>
      </c>
      <c r="M18" s="2">
        <v>4759926.39</v>
      </c>
      <c r="N18" s="2">
        <v>2200347.78</v>
      </c>
      <c r="O18" s="2">
        <v>2251483.7</v>
      </c>
      <c r="P18" s="2">
        <v>4708790.47</v>
      </c>
      <c r="T18" t="s">
        <v>615</v>
      </c>
      <c r="U18" s="2">
        <v>16</v>
      </c>
      <c r="V18" s="2" t="s">
        <v>599</v>
      </c>
      <c r="W18" s="2">
        <v>2167746.56</v>
      </c>
      <c r="X18" s="2">
        <v>26321.92</v>
      </c>
      <c r="Y18" s="2">
        <v>5.32</v>
      </c>
      <c r="Z18" s="2" t="s">
        <v>635</v>
      </c>
      <c r="AA18" s="2" t="s">
        <v>635</v>
      </c>
      <c r="AB18" s="2" t="s">
        <v>635</v>
      </c>
      <c r="AC18" s="2">
        <v>98938.69</v>
      </c>
      <c r="AD18" s="2" t="s">
        <v>635</v>
      </c>
      <c r="AE18" s="2" t="s">
        <v>635</v>
      </c>
      <c r="AF18" s="2">
        <v>11053.71</v>
      </c>
      <c r="AG18" s="2">
        <v>2053544.98</v>
      </c>
      <c r="AH18" s="2" t="s">
        <v>635</v>
      </c>
      <c r="AI18" s="2">
        <v>75770.13</v>
      </c>
      <c r="AJ18" s="2">
        <v>1977774.85</v>
      </c>
    </row>
    <row r="19" spans="1:36" ht="24.666666666666668" customHeight="1">
      <c r="A19">
        <v>2</v>
      </c>
      <c r="B19" t="s">
        <v>637</v>
      </c>
      <c r="C19" s="2">
        <v>454263.42</v>
      </c>
      <c r="D19" s="2">
        <v>73607.08</v>
      </c>
      <c r="E19" s="2">
        <v>6330.47</v>
      </c>
      <c r="F19" t="s">
        <v>635</v>
      </c>
      <c r="G19" t="s">
        <v>635</v>
      </c>
      <c r="H19" s="2">
        <v>1498.35</v>
      </c>
      <c r="I19" s="2">
        <v>87977.88</v>
      </c>
      <c r="J19" s="2">
        <v>108426.21</v>
      </c>
      <c r="K19" s="2">
        <v>60040.69</v>
      </c>
      <c r="L19" s="2">
        <v>55060.34</v>
      </c>
      <c r="M19" s="2">
        <v>184104.02</v>
      </c>
      <c r="N19" s="2">
        <v>98895.16</v>
      </c>
      <c r="O19" s="2">
        <v>117418.83</v>
      </c>
      <c r="P19" s="2">
        <v>165580.35</v>
      </c>
      <c r="T19" t="s">
        <v>615</v>
      </c>
      <c r="U19" s="2">
        <v>17</v>
      </c>
      <c r="V19" s="2" t="s">
        <v>670</v>
      </c>
      <c r="W19" s="2">
        <v>1335505.19</v>
      </c>
      <c r="X19" s="2">
        <v>32116.41</v>
      </c>
      <c r="Y19" s="2">
        <v>4684.72</v>
      </c>
      <c r="Z19" s="2" t="s">
        <v>635</v>
      </c>
      <c r="AA19" s="2" t="s">
        <v>635</v>
      </c>
      <c r="AB19" s="2">
        <v>1091.18</v>
      </c>
      <c r="AC19" s="2">
        <v>1049900.41</v>
      </c>
      <c r="AD19" s="2">
        <v>85948.68</v>
      </c>
      <c r="AE19" s="2">
        <v>30031.69</v>
      </c>
      <c r="AF19" s="2">
        <v>59631.24</v>
      </c>
      <c r="AG19" s="2">
        <v>200732.78</v>
      </c>
      <c r="AH19" s="2">
        <v>61050.72</v>
      </c>
      <c r="AI19" s="2">
        <v>63053.13</v>
      </c>
      <c r="AJ19" s="2">
        <v>198730.37</v>
      </c>
    </row>
    <row r="20" spans="1:36" ht="24.666666666666668" customHeight="1">
      <c r="A20">
        <v>3</v>
      </c>
      <c r="B20" t="s">
        <v>639</v>
      </c>
      <c r="C20" s="2">
        <v>192081.75</v>
      </c>
      <c r="D20" s="2">
        <v>6216.33</v>
      </c>
      <c r="E20">
        <v>43.41</v>
      </c>
      <c r="F20" t="s">
        <v>635</v>
      </c>
      <c r="G20" t="s">
        <v>635</v>
      </c>
      <c r="H20" t="s">
        <v>635</v>
      </c>
      <c r="I20" s="2">
        <v>101014.65</v>
      </c>
      <c r="J20" s="2">
        <v>6552.29</v>
      </c>
      <c r="K20" t="s">
        <v>635</v>
      </c>
      <c r="L20" s="2">
        <v>27945.91</v>
      </c>
      <c r="M20" s="2">
        <v>106287.8</v>
      </c>
      <c r="N20" s="2">
        <v>49132.66</v>
      </c>
      <c r="O20" s="2">
        <v>50875.74</v>
      </c>
      <c r="P20" s="2">
        <v>104544.71</v>
      </c>
      <c r="T20" t="s">
        <v>615</v>
      </c>
      <c r="U20" s="2">
        <v>18</v>
      </c>
      <c r="V20" s="2" t="s">
        <v>671</v>
      </c>
      <c r="W20" s="2">
        <v>505372.88</v>
      </c>
      <c r="X20" s="2">
        <v>145952.19</v>
      </c>
      <c r="Y20" s="2" t="s">
        <v>635</v>
      </c>
      <c r="Z20" s="2" t="s">
        <v>635</v>
      </c>
      <c r="AA20" s="2" t="s">
        <v>635</v>
      </c>
      <c r="AB20" s="2" t="s">
        <v>635</v>
      </c>
      <c r="AC20" s="2">
        <v>16376.75</v>
      </c>
      <c r="AD20" s="2" t="s">
        <v>635</v>
      </c>
      <c r="AE20" s="2" t="s">
        <v>635</v>
      </c>
      <c r="AF20" s="2">
        <v>3345.17</v>
      </c>
      <c r="AG20" s="2">
        <v>346389.11</v>
      </c>
      <c r="AH20" s="2">
        <v>169867.98</v>
      </c>
      <c r="AI20" s="2">
        <v>245966.47</v>
      </c>
      <c r="AJ20" s="2">
        <v>270290.62</v>
      </c>
    </row>
    <row r="21" spans="1:36" ht="24.666666666666668" customHeight="1">
      <c r="A21">
        <v>4</v>
      </c>
      <c r="B21" t="s">
        <v>304</v>
      </c>
      <c r="C21" s="2">
        <v>7543276.56</v>
      </c>
      <c r="D21" s="2">
        <v>913690.14</v>
      </c>
      <c r="E21" s="2">
        <v>380812.98</v>
      </c>
      <c r="F21" t="s">
        <v>635</v>
      </c>
      <c r="G21" t="s">
        <v>635</v>
      </c>
      <c r="H21" t="s">
        <v>635</v>
      </c>
      <c r="I21" s="2">
        <v>424022.25</v>
      </c>
      <c r="J21" s="2">
        <v>686233.84</v>
      </c>
      <c r="K21" s="2">
        <v>480167.14</v>
      </c>
      <c r="L21" s="2">
        <v>216047.15</v>
      </c>
      <c r="M21" s="2">
        <v>5636023.31</v>
      </c>
      <c r="N21" s="2">
        <v>1950993.71</v>
      </c>
      <c r="O21" s="2">
        <v>2245987.08</v>
      </c>
      <c r="P21" s="2">
        <v>5341029.94</v>
      </c>
      <c r="T21" t="s">
        <v>615</v>
      </c>
      <c r="U21" s="2">
        <v>19</v>
      </c>
      <c r="V21" s="2" t="s">
        <v>672</v>
      </c>
      <c r="W21" s="2">
        <v>716695.44</v>
      </c>
      <c r="X21" s="2">
        <v>160852.72</v>
      </c>
      <c r="Y21" s="2" t="s">
        <v>635</v>
      </c>
      <c r="Z21" s="2" t="s">
        <v>635</v>
      </c>
      <c r="AA21" s="2" t="s">
        <v>635</v>
      </c>
      <c r="AB21" s="2" t="s">
        <v>635</v>
      </c>
      <c r="AC21" s="2">
        <v>47367.91</v>
      </c>
      <c r="AD21" s="2" t="s">
        <v>635</v>
      </c>
      <c r="AE21" s="2" t="s">
        <v>635</v>
      </c>
      <c r="AF21" s="2">
        <v>9441.61</v>
      </c>
      <c r="AG21" s="2">
        <v>517916.42</v>
      </c>
      <c r="AH21" s="2">
        <v>587105.23</v>
      </c>
      <c r="AI21" s="2">
        <v>663961.69</v>
      </c>
      <c r="AJ21" s="2">
        <v>441059.96</v>
      </c>
    </row>
    <row r="22" spans="1:36" ht="24.666666666666668" customHeight="1">
      <c r="A22">
        <v>5</v>
      </c>
      <c r="B22" t="s">
        <v>643</v>
      </c>
      <c r="C22" s="2">
        <v>403522.12</v>
      </c>
      <c r="D22" s="2">
        <v>34633.3</v>
      </c>
      <c r="E22">
        <v>14.19</v>
      </c>
      <c r="F22" t="s">
        <v>635</v>
      </c>
      <c r="G22" t="s">
        <v>635</v>
      </c>
      <c r="H22" t="s">
        <v>635</v>
      </c>
      <c r="I22" s="2">
        <v>184372.23</v>
      </c>
      <c r="J22" s="2">
        <v>8598.16</v>
      </c>
      <c r="K22" s="2">
        <v>4797.41</v>
      </c>
      <c r="L22" s="2">
        <v>48931.52</v>
      </c>
      <c r="M22" s="2">
        <v>220066.73</v>
      </c>
      <c r="N22" s="2">
        <v>92137.9</v>
      </c>
      <c r="O22" s="2">
        <v>107647.3</v>
      </c>
      <c r="P22" s="2">
        <v>204557.34</v>
      </c>
      <c r="T22" t="s">
        <v>615</v>
      </c>
      <c r="U22" s="2">
        <v>20</v>
      </c>
      <c r="V22" s="2" t="s">
        <v>673</v>
      </c>
      <c r="W22" s="2">
        <v>540530.8</v>
      </c>
      <c r="X22" s="2">
        <v>55248.28</v>
      </c>
      <c r="Y22" s="2">
        <v>36.32</v>
      </c>
      <c r="Z22" s="2" t="s">
        <v>635</v>
      </c>
      <c r="AA22" s="2" t="s">
        <v>635</v>
      </c>
      <c r="AB22" s="2" t="s">
        <v>635</v>
      </c>
      <c r="AC22" s="2">
        <v>51264.37</v>
      </c>
      <c r="AD22" s="2" t="s">
        <v>635</v>
      </c>
      <c r="AE22" s="2" t="s">
        <v>635</v>
      </c>
      <c r="AF22" s="2">
        <v>11207.7</v>
      </c>
      <c r="AG22" s="2">
        <v>445262.19</v>
      </c>
      <c r="AH22" s="2">
        <v>169388.43</v>
      </c>
      <c r="AI22" s="2">
        <v>167576.14</v>
      </c>
      <c r="AJ22" s="2">
        <v>447074.48</v>
      </c>
    </row>
    <row r="23" spans="1:36" ht="24.666666666666668" customHeight="1">
      <c r="A23">
        <v>6</v>
      </c>
      <c r="B23" t="s">
        <v>646</v>
      </c>
      <c r="C23" s="2">
        <v>4459312.65</v>
      </c>
      <c r="D23" s="2">
        <v>819493.58</v>
      </c>
      <c r="E23" s="2">
        <v>23913.41</v>
      </c>
      <c r="F23" t="s">
        <v>635</v>
      </c>
      <c r="G23" t="s">
        <v>635</v>
      </c>
      <c r="H23" s="2">
        <v>7329.61</v>
      </c>
      <c r="I23" s="2">
        <v>652317.09</v>
      </c>
      <c r="J23" t="s">
        <v>635</v>
      </c>
      <c r="K23" t="s">
        <v>635</v>
      </c>
      <c r="L23" s="2">
        <v>177431.12</v>
      </c>
      <c r="M23" s="2">
        <v>3181516.89</v>
      </c>
      <c r="N23" s="2">
        <v>1712276.57</v>
      </c>
      <c r="O23" s="2">
        <v>19800950.65</v>
      </c>
      <c r="P23" s="2">
        <v>-14907157.19</v>
      </c>
      <c r="T23" t="s">
        <v>615</v>
      </c>
      <c r="U23" s="2">
        <v>21</v>
      </c>
      <c r="V23" s="2" t="s">
        <v>476</v>
      </c>
      <c r="W23" s="2">
        <v>1093815.45</v>
      </c>
      <c r="X23" s="2">
        <v>68094.66</v>
      </c>
      <c r="Y23" s="2">
        <v>2749.31</v>
      </c>
      <c r="Z23" s="2" t="s">
        <v>635</v>
      </c>
      <c r="AA23" s="2" t="s">
        <v>635</v>
      </c>
      <c r="AB23" s="2" t="s">
        <v>635</v>
      </c>
      <c r="AC23" s="2">
        <v>795616.76</v>
      </c>
      <c r="AD23" s="2">
        <v>18950.92</v>
      </c>
      <c r="AE23" s="2">
        <v>-15503.87</v>
      </c>
      <c r="AF23" s="2">
        <v>51066.95</v>
      </c>
      <c r="AG23" s="2">
        <v>280473.25</v>
      </c>
      <c r="AH23" s="2">
        <v>198190.43</v>
      </c>
      <c r="AI23" s="2">
        <v>187377.77</v>
      </c>
      <c r="AJ23" s="2">
        <v>291285.9</v>
      </c>
    </row>
    <row r="24" spans="1:36" ht="24.666666666666668" customHeight="1">
      <c r="A24">
        <v>7</v>
      </c>
      <c r="B24" t="s">
        <v>649</v>
      </c>
      <c r="C24" s="2">
        <v>188017.81</v>
      </c>
      <c r="D24" s="2">
        <v>40783.78</v>
      </c>
      <c r="E24" s="2">
        <v>45728.1</v>
      </c>
      <c r="F24" t="s">
        <v>635</v>
      </c>
      <c r="G24" t="s">
        <v>635</v>
      </c>
      <c r="H24" s="2">
        <v>12030.2</v>
      </c>
      <c r="I24" t="s">
        <v>635</v>
      </c>
      <c r="J24" s="2">
        <v>132905.79</v>
      </c>
      <c r="K24" t="s">
        <v>635</v>
      </c>
      <c r="L24" s="2">
        <v>24922.78</v>
      </c>
      <c r="M24" s="2">
        <v>72948.92</v>
      </c>
      <c r="N24" s="2">
        <v>20357.09</v>
      </c>
      <c r="O24" s="2">
        <v>25538.88</v>
      </c>
      <c r="P24" s="2">
        <v>67767.13</v>
      </c>
      <c r="T24" t="s">
        <v>615</v>
      </c>
      <c r="U24" s="2">
        <v>22</v>
      </c>
      <c r="V24" s="2" t="s">
        <v>674</v>
      </c>
      <c r="W24" s="2">
        <v>182753.61</v>
      </c>
      <c r="X24" s="2">
        <v>29373.95</v>
      </c>
      <c r="Y24" s="2">
        <v>16520.17</v>
      </c>
      <c r="Z24" s="2" t="s">
        <v>635</v>
      </c>
      <c r="AA24" s="2" t="s">
        <v>635</v>
      </c>
      <c r="AB24" s="2">
        <v>8804.37</v>
      </c>
      <c r="AC24" s="2">
        <v>52078.93</v>
      </c>
      <c r="AD24" s="2" t="s">
        <v>635</v>
      </c>
      <c r="AE24" s="2" t="s">
        <v>635</v>
      </c>
      <c r="AF24" s="2">
        <v>11227.34</v>
      </c>
      <c r="AG24" s="2">
        <v>120243.87</v>
      </c>
      <c r="AH24" s="2">
        <v>132429.04</v>
      </c>
      <c r="AI24" s="2">
        <v>134524.66</v>
      </c>
      <c r="AJ24" s="2">
        <v>118148.25</v>
      </c>
    </row>
    <row r="25" spans="1:36" ht="24.666666666666668" customHeight="1">
      <c r="A25">
        <v>8</v>
      </c>
      <c r="B25" t="s">
        <v>653</v>
      </c>
      <c r="C25" s="2">
        <v>308846.39</v>
      </c>
      <c r="D25" s="2">
        <v>47161.04</v>
      </c>
      <c r="E25" s="2">
        <v>27113.65</v>
      </c>
      <c r="F25" t="s">
        <v>635</v>
      </c>
      <c r="G25" t="s">
        <v>635</v>
      </c>
      <c r="H25" s="2">
        <v>6776.03</v>
      </c>
      <c r="I25" s="2">
        <v>82656.85</v>
      </c>
      <c r="J25" t="s">
        <v>635</v>
      </c>
      <c r="K25" t="s">
        <v>635</v>
      </c>
      <c r="L25" s="2">
        <v>20978.66</v>
      </c>
      <c r="M25" s="2">
        <v>220344.78</v>
      </c>
      <c r="N25" s="2">
        <v>310875.51</v>
      </c>
      <c r="O25" s="2">
        <v>349793.91</v>
      </c>
      <c r="P25" s="2">
        <v>181426.38</v>
      </c>
      <c r="T25" t="s">
        <v>615</v>
      </c>
      <c r="U25" s="2">
        <v>23</v>
      </c>
      <c r="V25" s="2" t="s">
        <v>560</v>
      </c>
      <c r="W25" s="2">
        <v>210194.47</v>
      </c>
      <c r="X25" s="2">
        <v>32678.08</v>
      </c>
      <c r="Y25" s="2">
        <v>12100.21</v>
      </c>
      <c r="Z25" s="2" t="s">
        <v>635</v>
      </c>
      <c r="AA25" s="2" t="s">
        <v>635</v>
      </c>
      <c r="AB25" s="2">
        <v>2955.02</v>
      </c>
      <c r="AC25" s="2">
        <v>82546.09</v>
      </c>
      <c r="AD25" s="2" t="s">
        <v>635</v>
      </c>
      <c r="AE25" s="2" t="s">
        <v>635</v>
      </c>
      <c r="AF25" s="2">
        <v>13430.99</v>
      </c>
      <c r="AG25" s="2">
        <v>117546.49</v>
      </c>
      <c r="AH25" s="2">
        <v>24935.01</v>
      </c>
      <c r="AI25" s="2">
        <v>38033.42</v>
      </c>
      <c r="AJ25" s="2">
        <v>104448.08</v>
      </c>
    </row>
    <row r="26" spans="1:36" ht="24.666666666666668" customHeight="1">
      <c r="A26">
        <v>9</v>
      </c>
      <c r="B26" t="s">
        <v>663</v>
      </c>
      <c r="C26" s="2">
        <v>315751.37</v>
      </c>
      <c r="D26" s="2">
        <v>59962.81</v>
      </c>
      <c r="E26" s="2">
        <v>1289.98</v>
      </c>
      <c r="F26" t="s">
        <v>635</v>
      </c>
      <c r="G26" t="s">
        <v>635</v>
      </c>
      <c r="H26">
        <v>289.84</v>
      </c>
      <c r="I26" s="2">
        <v>141817.8</v>
      </c>
      <c r="J26" s="2">
        <v>29688.99</v>
      </c>
      <c r="K26" t="s">
        <v>635</v>
      </c>
      <c r="L26" s="2">
        <v>40928.59</v>
      </c>
      <c r="M26" s="2">
        <v>126210.5</v>
      </c>
      <c r="N26" s="2">
        <v>89431.74</v>
      </c>
      <c r="O26" s="2">
        <v>68658.89</v>
      </c>
      <c r="P26" s="2">
        <v>146983.35</v>
      </c>
      <c r="T26" t="s">
        <v>615</v>
      </c>
      <c r="U26" s="2">
        <v>24</v>
      </c>
      <c r="V26" s="2" t="s">
        <v>308</v>
      </c>
      <c r="W26" s="2">
        <v>5588770.95</v>
      </c>
      <c r="X26" s="2">
        <v>17856.39</v>
      </c>
      <c r="Y26" s="2" t="s">
        <v>635</v>
      </c>
      <c r="Z26" s="2" t="s">
        <v>635</v>
      </c>
      <c r="AA26" s="2" t="s">
        <v>635</v>
      </c>
      <c r="AB26" s="2" t="s">
        <v>635</v>
      </c>
      <c r="AC26" s="2">
        <v>1126518.29</v>
      </c>
      <c r="AD26" s="2" t="s">
        <v>635</v>
      </c>
      <c r="AE26" s="2" t="s">
        <v>635</v>
      </c>
      <c r="AF26" s="2">
        <v>156421.21</v>
      </c>
      <c r="AG26" s="2">
        <v>4600817.48</v>
      </c>
      <c r="AH26" s="2">
        <v>4215728.99</v>
      </c>
      <c r="AI26" s="2">
        <v>3453091.69</v>
      </c>
      <c r="AJ26" s="2">
        <v>5363454.78</v>
      </c>
    </row>
    <row r="27" spans="1:36" ht="24.666666666666668" customHeight="1">
      <c r="A27">
        <v>10</v>
      </c>
      <c r="B27" t="s">
        <v>664</v>
      </c>
      <c r="C27" s="2">
        <v>225698.28</v>
      </c>
      <c r="D27" s="2">
        <v>39151.35</v>
      </c>
      <c r="E27" s="2">
        <v>2339.92</v>
      </c>
      <c r="F27" t="s">
        <v>635</v>
      </c>
      <c r="G27" t="s">
        <v>635</v>
      </c>
      <c r="H27" t="s">
        <v>635</v>
      </c>
      <c r="I27" s="2">
        <v>48217.18</v>
      </c>
      <c r="J27" t="s">
        <v>635</v>
      </c>
      <c r="K27" t="s">
        <v>635</v>
      </c>
      <c r="L27" s="2">
        <v>8821.27</v>
      </c>
      <c r="M27" s="2">
        <v>149490.94</v>
      </c>
      <c r="N27" s="2">
        <v>38288.05</v>
      </c>
      <c r="O27" s="2">
        <v>35363.44</v>
      </c>
      <c r="P27" s="2">
        <v>152415.55</v>
      </c>
      <c r="T27" t="s">
        <v>615</v>
      </c>
      <c r="U27" s="2">
        <v>25</v>
      </c>
      <c r="V27" s="2" t="s">
        <v>675</v>
      </c>
      <c r="W27" s="2">
        <v>1672748.48</v>
      </c>
      <c r="X27" s="2">
        <v>187626.72</v>
      </c>
      <c r="Y27" s="2">
        <v>19533.15</v>
      </c>
      <c r="Z27" s="2" t="s">
        <v>635</v>
      </c>
      <c r="AA27" s="2" t="s">
        <v>635</v>
      </c>
      <c r="AB27" s="2">
        <v>2309.78</v>
      </c>
      <c r="AC27" s="2">
        <v>1070448.93</v>
      </c>
      <c r="AD27" s="2">
        <v>65618.38</v>
      </c>
      <c r="AE27" s="2">
        <v>118032.07</v>
      </c>
      <c r="AF27" s="2">
        <v>272261.34</v>
      </c>
      <c r="AG27" s="2">
        <v>520507.09</v>
      </c>
      <c r="AH27" s="2">
        <v>149600.97</v>
      </c>
      <c r="AI27" s="2">
        <v>285392</v>
      </c>
      <c r="AJ27" s="2">
        <v>384716.07</v>
      </c>
    </row>
    <row r="28" spans="1:36" ht="24.666666666666668" customHeight="1">
      <c r="A28">
        <v>11</v>
      </c>
      <c r="B28" t="s">
        <v>317</v>
      </c>
      <c r="C28" s="2">
        <v>3843383.91</v>
      </c>
      <c r="D28" s="2">
        <v>339995.9</v>
      </c>
      <c r="E28" s="2">
        <v>10813.74</v>
      </c>
      <c r="F28" t="s">
        <v>635</v>
      </c>
      <c r="G28" t="s">
        <v>635</v>
      </c>
      <c r="H28" s="2">
        <v>2881.72</v>
      </c>
      <c r="I28" s="2">
        <v>2055355.84</v>
      </c>
      <c r="J28" t="s">
        <v>635</v>
      </c>
      <c r="K28" t="s">
        <v>635</v>
      </c>
      <c r="L28" s="2">
        <v>445957.34</v>
      </c>
      <c r="M28" s="2">
        <v>1901921.53</v>
      </c>
      <c r="N28" s="2">
        <v>955575.9</v>
      </c>
      <c r="O28" s="2">
        <v>1264917.2</v>
      </c>
      <c r="P28" s="2">
        <v>1592580.22</v>
      </c>
      <c r="T28" t="s">
        <v>615</v>
      </c>
      <c r="U28" s="2">
        <v>26</v>
      </c>
      <c r="V28" s="2" t="s">
        <v>312</v>
      </c>
      <c r="W28" s="2">
        <v>3749626.63</v>
      </c>
      <c r="X28" s="2">
        <v>217980.33</v>
      </c>
      <c r="Y28" s="2">
        <v>274146.88</v>
      </c>
      <c r="Z28" s="2" t="s">
        <v>635</v>
      </c>
      <c r="AA28" s="2">
        <v>1056.5</v>
      </c>
      <c r="AB28" s="2">
        <v>9707.27</v>
      </c>
      <c r="AC28" s="2">
        <v>1547740.79</v>
      </c>
      <c r="AD28" s="2" t="s">
        <v>635</v>
      </c>
      <c r="AE28" s="2">
        <v>621019.04</v>
      </c>
      <c r="AF28" s="2">
        <v>230718.2</v>
      </c>
      <c r="AG28" s="2">
        <v>1859100.78</v>
      </c>
      <c r="AH28" s="2">
        <v>774653.52</v>
      </c>
      <c r="AI28" s="2">
        <v>1114956.3</v>
      </c>
      <c r="AJ28" s="2">
        <v>1518798</v>
      </c>
    </row>
    <row r="29" spans="1:36" ht="24.666666666666668" customHeight="1">
      <c r="A29">
        <v>12</v>
      </c>
      <c r="B29" t="s">
        <v>665</v>
      </c>
      <c r="C29" s="2">
        <v>355861.74</v>
      </c>
      <c r="D29" s="2">
        <v>70352.52</v>
      </c>
      <c r="E29">
        <v>943.83</v>
      </c>
      <c r="F29">
        <v>73.19</v>
      </c>
      <c r="G29" t="s">
        <v>635</v>
      </c>
      <c r="H29">
        <v>477.36</v>
      </c>
      <c r="I29" s="2">
        <v>115993.71</v>
      </c>
      <c r="J29" s="2">
        <v>13991.42</v>
      </c>
      <c r="K29" t="s">
        <v>635</v>
      </c>
      <c r="L29" s="2">
        <v>30143.16</v>
      </c>
      <c r="M29" s="2">
        <v>186206.91</v>
      </c>
      <c r="N29" s="2">
        <v>114123.76</v>
      </c>
      <c r="O29" s="2">
        <v>118067.98</v>
      </c>
      <c r="P29" s="2">
        <v>182262.69</v>
      </c>
      <c r="T29" t="s">
        <v>615</v>
      </c>
      <c r="U29" s="2">
        <v>27</v>
      </c>
      <c r="V29" s="2" t="s">
        <v>676</v>
      </c>
      <c r="W29" s="2">
        <v>1474653.24</v>
      </c>
      <c r="X29" s="2">
        <v>167501.74</v>
      </c>
      <c r="Y29" s="2">
        <v>91231.45</v>
      </c>
      <c r="Z29" s="2" t="s">
        <v>635</v>
      </c>
      <c r="AA29" s="2" t="s">
        <v>635</v>
      </c>
      <c r="AB29" s="2" t="s">
        <v>635</v>
      </c>
      <c r="AC29" s="2">
        <v>548628.45</v>
      </c>
      <c r="AD29" s="2" t="s">
        <v>635</v>
      </c>
      <c r="AE29" s="2" t="s">
        <v>635</v>
      </c>
      <c r="AF29" s="2" t="s">
        <v>635</v>
      </c>
      <c r="AG29" s="2">
        <v>849754.51</v>
      </c>
      <c r="AH29" s="2" t="s">
        <v>635</v>
      </c>
      <c r="AI29" s="2">
        <v>23125.76</v>
      </c>
      <c r="AJ29" s="2">
        <v>826628.75</v>
      </c>
    </row>
    <row r="30" spans="1:36" ht="24.666666666666668" customHeight="1">
      <c r="A30">
        <v>13</v>
      </c>
      <c r="B30" t="s">
        <v>667</v>
      </c>
      <c r="C30" s="2">
        <v>502257.62</v>
      </c>
      <c r="D30" s="2">
        <v>84908.55</v>
      </c>
      <c r="E30" s="2">
        <v>12745.63</v>
      </c>
      <c r="F30" t="s">
        <v>635</v>
      </c>
      <c r="G30" t="s">
        <v>635</v>
      </c>
      <c r="H30" s="2">
        <v>4909.74</v>
      </c>
      <c r="I30" s="2">
        <v>99210.57</v>
      </c>
      <c r="J30" t="s">
        <v>635</v>
      </c>
      <c r="K30" t="s">
        <v>635</v>
      </c>
      <c r="L30" s="2">
        <v>19263.91</v>
      </c>
      <c r="M30" s="2">
        <v>345238.31</v>
      </c>
      <c r="N30" s="2">
        <v>153632.85</v>
      </c>
      <c r="O30" s="2">
        <v>160111.92</v>
      </c>
      <c r="P30" s="2">
        <v>338759.24</v>
      </c>
      <c r="T30" t="s">
        <v>615</v>
      </c>
      <c r="U30" s="2">
        <v>28</v>
      </c>
      <c r="V30" s="2" t="s">
        <v>497</v>
      </c>
      <c r="W30" s="2">
        <v>699792.87</v>
      </c>
      <c r="X30" s="2">
        <v>73390.81</v>
      </c>
      <c r="Y30" s="2">
        <v>90.52</v>
      </c>
      <c r="Z30" s="2" t="s">
        <v>635</v>
      </c>
      <c r="AA30" s="2" t="s">
        <v>635</v>
      </c>
      <c r="AB30" s="2">
        <v>34.64</v>
      </c>
      <c r="AC30" s="2">
        <v>7680.79</v>
      </c>
      <c r="AD30" s="2" t="s">
        <v>635</v>
      </c>
      <c r="AE30" s="2" t="s">
        <v>635</v>
      </c>
      <c r="AF30" s="2">
        <v>36.6</v>
      </c>
      <c r="AG30" s="2">
        <v>618813.76</v>
      </c>
      <c r="AH30" s="2">
        <v>88281.65</v>
      </c>
      <c r="AI30" s="2">
        <v>257747.72</v>
      </c>
      <c r="AJ30" s="2">
        <v>449347.69</v>
      </c>
    </row>
    <row r="31" spans="1:36" ht="24.666666666666668" customHeight="1">
      <c r="A31">
        <v>14</v>
      </c>
      <c r="B31" t="s">
        <v>310</v>
      </c>
      <c r="C31" s="2">
        <v>4733633.88</v>
      </c>
      <c r="D31" s="2">
        <v>420600.41</v>
      </c>
      <c r="E31" s="2">
        <v>101651.39</v>
      </c>
      <c r="F31" s="2">
        <v>9037.92</v>
      </c>
      <c r="G31" s="2">
        <v>2478.67</v>
      </c>
      <c r="H31" s="2">
        <v>17765.76</v>
      </c>
      <c r="I31" s="2">
        <v>1928164.12</v>
      </c>
      <c r="J31" s="2">
        <v>844416.87</v>
      </c>
      <c r="K31" s="2">
        <v>595878.09</v>
      </c>
      <c r="L31" s="2">
        <v>608734.04</v>
      </c>
      <c r="M31" s="2">
        <v>1648710.65</v>
      </c>
      <c r="N31" s="2">
        <v>798912.89</v>
      </c>
      <c r="O31" s="2">
        <v>843103.18</v>
      </c>
      <c r="P31" s="2">
        <v>1604520.36</v>
      </c>
      <c r="T31" t="s">
        <v>615</v>
      </c>
      <c r="U31" s="2">
        <v>29</v>
      </c>
      <c r="V31" s="2" t="s">
        <v>677</v>
      </c>
      <c r="W31" s="2">
        <v>1715322.95</v>
      </c>
      <c r="X31" s="2">
        <v>93879.94</v>
      </c>
      <c r="Y31" s="2">
        <v>267.41</v>
      </c>
      <c r="Z31" s="2" t="s">
        <v>635</v>
      </c>
      <c r="AA31" s="2" t="s">
        <v>635</v>
      </c>
      <c r="AB31" s="2" t="s">
        <v>635</v>
      </c>
      <c r="AC31" s="2">
        <v>1104074.75</v>
      </c>
      <c r="AD31" s="2">
        <v>263359.81</v>
      </c>
      <c r="AE31" s="2" t="s">
        <v>635</v>
      </c>
      <c r="AF31" s="2">
        <v>33109.29</v>
      </c>
      <c r="AG31" s="2">
        <v>287385.15</v>
      </c>
      <c r="AH31" s="2">
        <v>202594.51</v>
      </c>
      <c r="AI31" s="2">
        <v>176791.86</v>
      </c>
      <c r="AJ31" s="2">
        <v>313187.8</v>
      </c>
    </row>
    <row r="32" spans="1:36" ht="24.666666666666668" customHeight="1">
      <c r="A32">
        <v>15</v>
      </c>
      <c r="B32" t="s">
        <v>669</v>
      </c>
      <c r="C32" s="2">
        <v>1715619.76</v>
      </c>
      <c r="D32" s="2">
        <v>457627.69</v>
      </c>
      <c r="E32" s="2">
        <v>11224.58</v>
      </c>
      <c r="F32" t="s">
        <v>635</v>
      </c>
      <c r="G32" t="s">
        <v>635</v>
      </c>
      <c r="H32" s="2">
        <v>-2756.83</v>
      </c>
      <c r="I32" s="2">
        <v>256075.63</v>
      </c>
      <c r="J32" s="2">
        <v>103039.9</v>
      </c>
      <c r="K32" s="2">
        <v>11489.99</v>
      </c>
      <c r="L32" s="2">
        <v>127481.36</v>
      </c>
      <c r="M32" s="2">
        <v>1028849.32</v>
      </c>
      <c r="N32" s="2">
        <v>519373.17</v>
      </c>
      <c r="O32" s="2">
        <v>605116.08</v>
      </c>
      <c r="P32" s="2">
        <v>943106.4</v>
      </c>
      <c r="T32" t="s">
        <v>615</v>
      </c>
      <c r="U32" s="2">
        <v>30</v>
      </c>
      <c r="V32" s="2" t="s">
        <v>678</v>
      </c>
      <c r="W32" s="2">
        <v>178526.29</v>
      </c>
      <c r="X32" s="2">
        <v>29579.8</v>
      </c>
      <c r="Y32" s="2">
        <v>231.32</v>
      </c>
      <c r="Z32" s="2" t="s">
        <v>635</v>
      </c>
      <c r="AA32" s="2" t="s">
        <v>635</v>
      </c>
      <c r="AB32" s="2" t="s">
        <v>635</v>
      </c>
      <c r="AC32" s="2">
        <v>12268.97</v>
      </c>
      <c r="AD32" s="2" t="s">
        <v>635</v>
      </c>
      <c r="AE32" s="2" t="s">
        <v>635</v>
      </c>
      <c r="AF32" s="2">
        <v>174.52</v>
      </c>
      <c r="AG32" s="2">
        <v>137083.36</v>
      </c>
      <c r="AH32" s="2">
        <v>131575.31</v>
      </c>
      <c r="AI32" s="2">
        <v>132107.04</v>
      </c>
      <c r="AJ32" s="2">
        <v>136551.63</v>
      </c>
    </row>
    <row r="33" spans="1:36" ht="24.666666666666668" customHeight="1">
      <c r="A33">
        <v>16</v>
      </c>
      <c r="B33" t="s">
        <v>599</v>
      </c>
      <c r="C33" s="2">
        <v>2167746.56</v>
      </c>
      <c r="D33" s="2">
        <v>26321.92</v>
      </c>
      <c r="E33">
        <v>5.32</v>
      </c>
      <c r="F33" t="s">
        <v>635</v>
      </c>
      <c r="G33" t="s">
        <v>635</v>
      </c>
      <c r="H33" t="s">
        <v>635</v>
      </c>
      <c r="I33" s="2">
        <v>98938.69</v>
      </c>
      <c r="J33" t="s">
        <v>635</v>
      </c>
      <c r="K33" t="s">
        <v>635</v>
      </c>
      <c r="L33" s="2">
        <v>11053.71</v>
      </c>
      <c r="M33" s="2">
        <v>2053544.98</v>
      </c>
      <c r="N33" t="s">
        <v>635</v>
      </c>
      <c r="O33" s="2">
        <v>75770.13</v>
      </c>
      <c r="P33" s="2">
        <v>1977774.85</v>
      </c>
      <c r="T33" t="s">
        <v>615</v>
      </c>
      <c r="U33" s="2">
        <v>31</v>
      </c>
      <c r="V33" s="2" t="s">
        <v>679</v>
      </c>
      <c r="W33" s="2">
        <v>1016271.77</v>
      </c>
      <c r="X33" s="2">
        <v>169103.69</v>
      </c>
      <c r="Y33" s="2" t="s">
        <v>635</v>
      </c>
      <c r="Z33" s="2" t="s">
        <v>635</v>
      </c>
      <c r="AA33" s="2" t="s">
        <v>635</v>
      </c>
      <c r="AB33" s="2" t="s">
        <v>635</v>
      </c>
      <c r="AC33" s="2">
        <v>144694.49</v>
      </c>
      <c r="AD33" s="2">
        <v>157185.55</v>
      </c>
      <c r="AE33" s="2" t="s">
        <v>635</v>
      </c>
      <c r="AF33" s="2">
        <v>89336.67</v>
      </c>
      <c r="AG33" s="2">
        <v>634624.71</v>
      </c>
      <c r="AH33" s="2">
        <v>326974.92</v>
      </c>
      <c r="AI33" s="2">
        <v>317290.81</v>
      </c>
      <c r="AJ33" s="2">
        <v>644308.82</v>
      </c>
    </row>
    <row r="34" spans="1:36" ht="24.666666666666668" customHeight="1">
      <c r="A34">
        <v>17</v>
      </c>
      <c r="B34" t="s">
        <v>670</v>
      </c>
      <c r="C34" s="2">
        <v>1335505.19</v>
      </c>
      <c r="D34" s="2">
        <v>32116.41</v>
      </c>
      <c r="E34" s="2">
        <v>4684.72</v>
      </c>
      <c r="F34" t="s">
        <v>635</v>
      </c>
      <c r="G34" t="s">
        <v>635</v>
      </c>
      <c r="H34" s="2">
        <v>1091.18</v>
      </c>
      <c r="I34" s="2">
        <v>1049900.41</v>
      </c>
      <c r="J34" s="2">
        <v>85948.68</v>
      </c>
      <c r="K34" s="2">
        <v>30031.69</v>
      </c>
      <c r="L34" s="2">
        <v>59631.24</v>
      </c>
      <c r="M34" s="2">
        <v>200732.78</v>
      </c>
      <c r="N34" s="2">
        <v>61050.72</v>
      </c>
      <c r="O34" s="2">
        <v>63053.13</v>
      </c>
      <c r="P34" s="2">
        <v>198730.37</v>
      </c>
      <c r="T34" t="s">
        <v>615</v>
      </c>
      <c r="U34" s="2">
        <v>32</v>
      </c>
      <c r="V34" s="2" t="s">
        <v>680</v>
      </c>
      <c r="W34" s="2">
        <v>110700.81</v>
      </c>
      <c r="X34" s="2">
        <v>21126.82</v>
      </c>
      <c r="Y34" s="2">
        <v>105.21</v>
      </c>
      <c r="Z34" s="2" t="s">
        <v>635</v>
      </c>
      <c r="AA34" s="2" t="s">
        <v>635</v>
      </c>
      <c r="AB34" s="2" t="s">
        <v>635</v>
      </c>
      <c r="AC34" s="2">
        <v>14544.82</v>
      </c>
      <c r="AD34" s="2" t="s">
        <v>635</v>
      </c>
      <c r="AE34" s="2">
        <v>41.96</v>
      </c>
      <c r="AF34" s="2">
        <v>2865.77</v>
      </c>
      <c r="AG34" s="2">
        <v>77958.2</v>
      </c>
      <c r="AH34" s="2">
        <v>24580.18</v>
      </c>
      <c r="AI34" s="2">
        <v>35147.38</v>
      </c>
      <c r="AJ34" s="2">
        <v>67391</v>
      </c>
    </row>
    <row r="35" spans="1:36" ht="24.666666666666668" customHeight="1">
      <c r="A35">
        <v>18</v>
      </c>
      <c r="B35" t="s">
        <v>671</v>
      </c>
      <c r="C35" s="2">
        <v>505372.88</v>
      </c>
      <c r="D35" s="2">
        <v>145952.19</v>
      </c>
      <c r="E35" t="s">
        <v>635</v>
      </c>
      <c r="F35" t="s">
        <v>635</v>
      </c>
      <c r="G35" t="s">
        <v>635</v>
      </c>
      <c r="H35" t="s">
        <v>635</v>
      </c>
      <c r="I35" s="2">
        <v>16376.75</v>
      </c>
      <c r="J35" t="s">
        <v>635</v>
      </c>
      <c r="K35" t="s">
        <v>635</v>
      </c>
      <c r="L35" s="2">
        <v>3345.17</v>
      </c>
      <c r="M35" s="2">
        <v>346389.11</v>
      </c>
      <c r="N35" s="2">
        <v>169867.98</v>
      </c>
      <c r="O35" s="2">
        <v>245966.47</v>
      </c>
      <c r="P35" s="2">
        <v>270290.62</v>
      </c>
      <c r="T35" t="s">
        <v>615</v>
      </c>
      <c r="U35" s="2">
        <v>33</v>
      </c>
      <c r="V35" s="2" t="s">
        <v>681</v>
      </c>
      <c r="W35" s="2">
        <v>1546637.04</v>
      </c>
      <c r="X35" s="2">
        <v>90910.62</v>
      </c>
      <c r="Y35" s="2" t="s">
        <v>635</v>
      </c>
      <c r="Z35" s="2" t="s">
        <v>635</v>
      </c>
      <c r="AA35" s="2" t="s">
        <v>635</v>
      </c>
      <c r="AB35" s="2" t="s">
        <v>635</v>
      </c>
      <c r="AC35" s="2">
        <v>28883.12</v>
      </c>
      <c r="AD35" s="2" t="s">
        <v>635</v>
      </c>
      <c r="AE35" s="2" t="s">
        <v>635</v>
      </c>
      <c r="AF35" s="2">
        <v>8622.86</v>
      </c>
      <c r="AG35" s="2">
        <v>1435466.16</v>
      </c>
      <c r="AH35" s="2">
        <v>211473.24</v>
      </c>
      <c r="AI35" s="2">
        <v>293901.63</v>
      </c>
      <c r="AJ35" s="2">
        <v>1353037.76</v>
      </c>
    </row>
    <row r="36" spans="1:36" ht="24.666666666666668" customHeight="1">
      <c r="A36">
        <v>19</v>
      </c>
      <c r="B36" t="s">
        <v>672</v>
      </c>
      <c r="C36" s="2">
        <v>716695.44</v>
      </c>
      <c r="D36" s="2">
        <v>160852.72</v>
      </c>
      <c r="E36" t="s">
        <v>635</v>
      </c>
      <c r="F36" t="s">
        <v>635</v>
      </c>
      <c r="G36" t="s">
        <v>635</v>
      </c>
      <c r="H36" t="s">
        <v>635</v>
      </c>
      <c r="I36" s="2">
        <v>47367.91</v>
      </c>
      <c r="J36" t="s">
        <v>635</v>
      </c>
      <c r="K36" t="s">
        <v>635</v>
      </c>
      <c r="L36" s="2">
        <v>9441.61</v>
      </c>
      <c r="M36" s="2">
        <v>517916.42</v>
      </c>
      <c r="N36" s="2">
        <v>587105.23</v>
      </c>
      <c r="O36" s="2">
        <v>663961.69</v>
      </c>
      <c r="P36" s="2">
        <v>441059.96</v>
      </c>
      <c r="T36" t="s">
        <v>615</v>
      </c>
      <c r="U36" s="2">
        <v>34</v>
      </c>
      <c r="V36" s="2" t="s">
        <v>682</v>
      </c>
      <c r="W36" s="2">
        <v>326964.59</v>
      </c>
      <c r="X36" s="2">
        <v>90337.49</v>
      </c>
      <c r="Y36" s="2">
        <v>326.77</v>
      </c>
      <c r="Z36" s="2" t="s">
        <v>635</v>
      </c>
      <c r="AA36" s="2" t="s">
        <v>635</v>
      </c>
      <c r="AB36" s="2">
        <v>92.16</v>
      </c>
      <c r="AC36" s="2">
        <v>2704.34</v>
      </c>
      <c r="AD36" s="2" t="s">
        <v>635</v>
      </c>
      <c r="AE36" s="2" t="s">
        <v>635</v>
      </c>
      <c r="AF36" s="2">
        <v>-13.91</v>
      </c>
      <c r="AG36" s="2">
        <v>234143.47</v>
      </c>
      <c r="AH36" s="2">
        <v>18197.91</v>
      </c>
      <c r="AI36" s="2">
        <v>24480.15</v>
      </c>
      <c r="AJ36" s="2">
        <v>227861.23</v>
      </c>
    </row>
    <row r="37" spans="1:36" ht="24.666666666666668" customHeight="1">
      <c r="A37">
        <v>20</v>
      </c>
      <c r="B37" t="s">
        <v>673</v>
      </c>
      <c r="C37" s="2">
        <v>540530.8</v>
      </c>
      <c r="D37" s="2">
        <v>55248.28</v>
      </c>
      <c r="E37">
        <v>36.32</v>
      </c>
      <c r="F37" t="s">
        <v>635</v>
      </c>
      <c r="G37" t="s">
        <v>635</v>
      </c>
      <c r="H37" t="s">
        <v>635</v>
      </c>
      <c r="I37" s="2">
        <v>51264.37</v>
      </c>
      <c r="J37" t="s">
        <v>635</v>
      </c>
      <c r="K37" t="s">
        <v>635</v>
      </c>
      <c r="L37" s="2">
        <v>11207.7</v>
      </c>
      <c r="M37" s="2">
        <v>445262.19</v>
      </c>
      <c r="N37" s="2">
        <v>169388.43</v>
      </c>
      <c r="O37" s="2">
        <v>167576.14</v>
      </c>
      <c r="P37" s="2">
        <v>447074.48</v>
      </c>
      <c r="T37" t="s">
        <v>615</v>
      </c>
      <c r="U37" s="2">
        <v>35</v>
      </c>
      <c r="V37" s="2" t="s">
        <v>315</v>
      </c>
      <c r="W37" s="2">
        <v>6389668.17</v>
      </c>
      <c r="X37" s="2">
        <v>1444226.59</v>
      </c>
      <c r="Y37" s="2">
        <v>1951067.98</v>
      </c>
      <c r="Z37" s="2">
        <v>13367.32</v>
      </c>
      <c r="AA37" s="2">
        <v>7853.91</v>
      </c>
      <c r="AB37" s="2">
        <v>61566.58</v>
      </c>
      <c r="AC37" s="2">
        <v>1630927.54</v>
      </c>
      <c r="AD37" s="2">
        <v>2439096.94</v>
      </c>
      <c r="AE37" s="2">
        <v>101208.69</v>
      </c>
      <c r="AF37" s="2">
        <v>67352.9</v>
      </c>
      <c r="AG37" s="2">
        <v>2752283.94</v>
      </c>
      <c r="AH37" s="2">
        <v>1622048.47</v>
      </c>
      <c r="AI37" s="2">
        <v>1735966.31</v>
      </c>
      <c r="AJ37" s="2">
        <v>2638366.11</v>
      </c>
    </row>
    <row r="38" spans="1:36" ht="24.666666666666668" customHeight="1">
      <c r="A38">
        <v>21</v>
      </c>
      <c r="B38" t="s">
        <v>476</v>
      </c>
      <c r="C38" s="2">
        <v>1093815.45</v>
      </c>
      <c r="D38" s="2">
        <v>68094.66</v>
      </c>
      <c r="E38" s="2">
        <v>2749.31</v>
      </c>
      <c r="F38" t="s">
        <v>635</v>
      </c>
      <c r="G38" t="s">
        <v>635</v>
      </c>
      <c r="H38" t="s">
        <v>635</v>
      </c>
      <c r="I38" s="2">
        <v>795616.76</v>
      </c>
      <c r="J38" s="2">
        <v>18950.92</v>
      </c>
      <c r="K38" s="2">
        <v>-15503.87</v>
      </c>
      <c r="L38" s="2">
        <v>51066.95</v>
      </c>
      <c r="M38" s="2">
        <v>280473.25</v>
      </c>
      <c r="N38" s="2">
        <v>198190.43</v>
      </c>
      <c r="O38" s="2">
        <v>187377.77</v>
      </c>
      <c r="P38" s="2">
        <v>291285.9</v>
      </c>
      <c r="T38" t="s">
        <v>615</v>
      </c>
      <c r="U38" s="2">
        <v>36</v>
      </c>
      <c r="V38" s="2" t="s">
        <v>549</v>
      </c>
      <c r="W38" s="2">
        <v>306892.78</v>
      </c>
      <c r="X38" s="2">
        <v>101794.36</v>
      </c>
      <c r="Y38" s="2" t="s">
        <v>635</v>
      </c>
      <c r="Z38" s="2" t="s">
        <v>635</v>
      </c>
      <c r="AA38" s="2" t="s">
        <v>635</v>
      </c>
      <c r="AB38" s="2" t="s">
        <v>635</v>
      </c>
      <c r="AC38" s="2">
        <v>861.04</v>
      </c>
      <c r="AD38" s="2" t="s">
        <v>635</v>
      </c>
      <c r="AE38" s="2" t="s">
        <v>635</v>
      </c>
      <c r="AF38" s="2" t="s">
        <v>635</v>
      </c>
      <c r="AG38" s="2">
        <v>204237.39</v>
      </c>
      <c r="AH38" s="2">
        <v>88224.59</v>
      </c>
      <c r="AI38" s="2">
        <v>110807.8</v>
      </c>
      <c r="AJ38" s="2">
        <v>181654.18</v>
      </c>
    </row>
    <row r="39" spans="1:36" ht="24.666666666666668" customHeight="1">
      <c r="A39">
        <v>22</v>
      </c>
      <c r="B39" t="s">
        <v>674</v>
      </c>
      <c r="C39" s="2">
        <v>182753.61</v>
      </c>
      <c r="D39" s="2">
        <v>29373.95</v>
      </c>
      <c r="E39" s="2">
        <v>16520.17</v>
      </c>
      <c r="F39" t="s">
        <v>635</v>
      </c>
      <c r="G39" t="s">
        <v>635</v>
      </c>
      <c r="H39" s="2">
        <v>8804.37</v>
      </c>
      <c r="I39" s="2">
        <v>52078.93</v>
      </c>
      <c r="J39" t="s">
        <v>635</v>
      </c>
      <c r="K39" t="s">
        <v>635</v>
      </c>
      <c r="L39" s="2">
        <v>11227.34</v>
      </c>
      <c r="M39" s="2">
        <v>120243.87</v>
      </c>
      <c r="N39" s="2">
        <v>132429.04</v>
      </c>
      <c r="O39" s="2">
        <v>134524.66</v>
      </c>
      <c r="P39" s="2">
        <v>118148.25</v>
      </c>
      <c r="T39" t="s">
        <v>615</v>
      </c>
      <c r="U39" s="2">
        <v>37</v>
      </c>
      <c r="V39" s="2" t="s">
        <v>548</v>
      </c>
      <c r="W39" s="2">
        <v>317910.81</v>
      </c>
      <c r="X39" s="2">
        <v>72283.18</v>
      </c>
      <c r="Y39" s="2">
        <v>3176.26</v>
      </c>
      <c r="Z39" s="2" t="s">
        <v>635</v>
      </c>
      <c r="AA39" s="2" t="s">
        <v>635</v>
      </c>
      <c r="AB39" s="2">
        <v>873.35</v>
      </c>
      <c r="AC39" s="2">
        <v>30472.04</v>
      </c>
      <c r="AD39" s="2" t="s">
        <v>635</v>
      </c>
      <c r="AE39" s="2" t="s">
        <v>635</v>
      </c>
      <c r="AF39" s="2">
        <v>13922.8</v>
      </c>
      <c r="AG39" s="2">
        <v>231381.31</v>
      </c>
      <c r="AH39" s="2">
        <v>83920.34</v>
      </c>
      <c r="AI39" s="2">
        <v>114834.07</v>
      </c>
      <c r="AJ39" s="2">
        <v>200467.58</v>
      </c>
    </row>
    <row r="40" spans="1:36" ht="24.666666666666668" customHeight="1">
      <c r="A40">
        <v>23</v>
      </c>
      <c r="B40" t="s">
        <v>560</v>
      </c>
      <c r="C40" s="2">
        <v>210194.47</v>
      </c>
      <c r="D40" s="2">
        <v>32678.08</v>
      </c>
      <c r="E40" s="2">
        <v>12100.21</v>
      </c>
      <c r="F40" t="s">
        <v>635</v>
      </c>
      <c r="G40" t="s">
        <v>635</v>
      </c>
      <c r="H40" s="2">
        <v>2955.02</v>
      </c>
      <c r="I40" s="2">
        <v>82546.09</v>
      </c>
      <c r="J40" t="s">
        <v>635</v>
      </c>
      <c r="K40" t="s">
        <v>635</v>
      </c>
      <c r="L40" s="2">
        <v>13430.99</v>
      </c>
      <c r="M40" s="2">
        <v>117546.49</v>
      </c>
      <c r="N40" s="2">
        <v>24935.01</v>
      </c>
      <c r="O40" s="2">
        <v>38033.42</v>
      </c>
      <c r="P40" s="2">
        <v>104448.08</v>
      </c>
      <c r="T40" t="s">
        <v>615</v>
      </c>
      <c r="U40" s="2">
        <v>38</v>
      </c>
      <c r="V40" s="2" t="s">
        <v>683</v>
      </c>
      <c r="W40" s="2">
        <v>1665522.8</v>
      </c>
      <c r="X40" s="2">
        <v>89828.98</v>
      </c>
      <c r="Y40" s="2">
        <v>44292.26</v>
      </c>
      <c r="Z40" s="2">
        <v>-0.08</v>
      </c>
      <c r="AA40" s="2" t="s">
        <v>635</v>
      </c>
      <c r="AB40" s="2">
        <v>10677.8</v>
      </c>
      <c r="AC40" s="2">
        <v>826264.91</v>
      </c>
      <c r="AD40" s="2">
        <v>61951.92</v>
      </c>
      <c r="AE40" s="2" t="s">
        <v>635</v>
      </c>
      <c r="AF40" s="2">
        <v>217752.2</v>
      </c>
      <c r="AG40" s="2">
        <v>938843.57</v>
      </c>
      <c r="AH40" s="2">
        <v>672551.54</v>
      </c>
      <c r="AI40" s="2">
        <v>857929.82</v>
      </c>
      <c r="AJ40" s="2">
        <v>753465.29</v>
      </c>
    </row>
    <row r="41" spans="1:36" ht="24.666666666666668" customHeight="1">
      <c r="A41">
        <v>24</v>
      </c>
      <c r="B41" t="s">
        <v>308</v>
      </c>
      <c r="C41" s="2">
        <v>5588770.95</v>
      </c>
      <c r="D41" s="2">
        <v>17856.39</v>
      </c>
      <c r="E41" t="s">
        <v>635</v>
      </c>
      <c r="F41" t="s">
        <v>635</v>
      </c>
      <c r="G41" t="s">
        <v>635</v>
      </c>
      <c r="H41" t="s">
        <v>635</v>
      </c>
      <c r="I41" s="2">
        <v>1126518.29</v>
      </c>
      <c r="J41" t="s">
        <v>635</v>
      </c>
      <c r="K41" t="s">
        <v>635</v>
      </c>
      <c r="L41" s="2">
        <v>156421.21</v>
      </c>
      <c r="M41" s="2">
        <v>4600817.48</v>
      </c>
      <c r="N41" s="2">
        <v>4215728.99</v>
      </c>
      <c r="O41" s="2">
        <v>3453091.69</v>
      </c>
      <c r="P41" s="2">
        <v>5363454.78</v>
      </c>
      <c r="T41" t="s">
        <v>615</v>
      </c>
      <c r="U41" s="2">
        <v>39</v>
      </c>
      <c r="V41" s="2" t="s">
        <v>684</v>
      </c>
      <c r="W41" s="2">
        <v>851117.13</v>
      </c>
      <c r="X41" s="2">
        <v>104687.47</v>
      </c>
      <c r="Y41" s="2">
        <v>4833.6</v>
      </c>
      <c r="Z41" s="2" t="s">
        <v>635</v>
      </c>
      <c r="AA41" s="2" t="s">
        <v>635</v>
      </c>
      <c r="AB41" s="2">
        <v>1478.59</v>
      </c>
      <c r="AC41" s="2">
        <v>-359797.59</v>
      </c>
      <c r="AD41" s="2" t="s">
        <v>635</v>
      </c>
      <c r="AE41" s="2" t="s">
        <v>635</v>
      </c>
      <c r="AF41" s="2">
        <v>-50239.34</v>
      </c>
      <c r="AG41" s="2">
        <v>1059342.92</v>
      </c>
      <c r="AH41" s="2" t="s">
        <v>635</v>
      </c>
      <c r="AI41" s="2">
        <v>-51794.15</v>
      </c>
      <c r="AJ41" s="2">
        <v>1111137.07</v>
      </c>
    </row>
    <row r="42" spans="1:36" ht="24.666666666666668" customHeight="1">
      <c r="A42">
        <v>25</v>
      </c>
      <c r="B42" t="s">
        <v>675</v>
      </c>
      <c r="C42" s="2">
        <v>1672748.48</v>
      </c>
      <c r="D42" s="2">
        <v>187626.72</v>
      </c>
      <c r="E42" s="2">
        <v>19533.15</v>
      </c>
      <c r="F42" t="s">
        <v>635</v>
      </c>
      <c r="G42" t="s">
        <v>635</v>
      </c>
      <c r="H42" s="2">
        <v>2309.78</v>
      </c>
      <c r="I42" s="2">
        <v>1070448.93</v>
      </c>
      <c r="J42" s="2">
        <v>65618.38</v>
      </c>
      <c r="K42" s="2">
        <v>118032.07</v>
      </c>
      <c r="L42" s="2">
        <v>272261.34</v>
      </c>
      <c r="M42" s="2">
        <v>520507.09</v>
      </c>
      <c r="N42" s="2">
        <v>149600.97</v>
      </c>
      <c r="O42" s="2">
        <v>285392</v>
      </c>
      <c r="P42" s="2">
        <v>384716.07</v>
      </c>
      <c r="T42" t="s">
        <v>615</v>
      </c>
      <c r="U42" s="2">
        <v>40</v>
      </c>
      <c r="V42" s="2" t="s">
        <v>685</v>
      </c>
      <c r="W42" s="2">
        <v>53019.96</v>
      </c>
      <c r="X42" s="2">
        <v>7077.67</v>
      </c>
      <c r="Y42" s="2" t="s">
        <v>635</v>
      </c>
      <c r="Z42" s="2" t="s">
        <v>635</v>
      </c>
      <c r="AA42" s="2" t="s">
        <v>635</v>
      </c>
      <c r="AB42" s="2" t="s">
        <v>635</v>
      </c>
      <c r="AC42" s="2">
        <v>3588.72</v>
      </c>
      <c r="AD42" s="2">
        <v>11651.7</v>
      </c>
      <c r="AE42" s="2" t="s">
        <v>635</v>
      </c>
      <c r="AF42" s="2">
        <v>5114.37</v>
      </c>
      <c r="AG42" s="2">
        <v>35816.25</v>
      </c>
      <c r="AH42" s="2">
        <v>148.46</v>
      </c>
      <c r="AI42" s="2">
        <v>17948.94</v>
      </c>
      <c r="AJ42" s="2">
        <v>18015.76</v>
      </c>
    </row>
    <row r="43" spans="1:36" ht="24.666666666666668" customHeight="1">
      <c r="A43">
        <v>26</v>
      </c>
      <c r="B43" t="s">
        <v>312</v>
      </c>
      <c r="C43" s="2">
        <v>3749626.63</v>
      </c>
      <c r="D43" s="2">
        <v>217980.33</v>
      </c>
      <c r="E43" s="2">
        <v>274146.88</v>
      </c>
      <c r="F43" t="s">
        <v>635</v>
      </c>
      <c r="G43" s="2">
        <v>1056.5</v>
      </c>
      <c r="H43" s="2">
        <v>9707.27</v>
      </c>
      <c r="I43" s="2">
        <v>1547740.79</v>
      </c>
      <c r="J43" t="s">
        <v>635</v>
      </c>
      <c r="K43" s="2">
        <v>621019.04</v>
      </c>
      <c r="L43" s="2">
        <v>230718.2</v>
      </c>
      <c r="M43" s="2">
        <v>1859100.78</v>
      </c>
      <c r="N43" s="2">
        <v>774653.52</v>
      </c>
      <c r="O43" s="2">
        <v>1114956.3</v>
      </c>
      <c r="P43" s="2">
        <v>1518798</v>
      </c>
      <c r="T43" t="s">
        <v>615</v>
      </c>
      <c r="U43" s="2">
        <v>41</v>
      </c>
      <c r="V43" s="2" t="s">
        <v>544</v>
      </c>
      <c r="W43" s="2">
        <v>123972.83</v>
      </c>
      <c r="X43" s="2">
        <v>5896.09</v>
      </c>
      <c r="Y43" s="2" t="s">
        <v>635</v>
      </c>
      <c r="Z43" s="2" t="s">
        <v>635</v>
      </c>
      <c r="AA43" s="2" t="s">
        <v>635</v>
      </c>
      <c r="AB43" s="2" t="s">
        <v>635</v>
      </c>
      <c r="AC43" s="2">
        <v>33204.59</v>
      </c>
      <c r="AD43" s="2">
        <v>32613.76</v>
      </c>
      <c r="AE43" s="2">
        <v>2578.66</v>
      </c>
      <c r="AF43" s="2">
        <v>5738.95</v>
      </c>
      <c r="AG43" s="2">
        <v>55418.69</v>
      </c>
      <c r="AH43" s="2">
        <v>7853.65</v>
      </c>
      <c r="AI43" s="2">
        <v>8615.72</v>
      </c>
      <c r="AJ43" s="2">
        <v>54656.62</v>
      </c>
    </row>
    <row r="44" spans="1:36" ht="24.666666666666668" customHeight="1">
      <c r="A44">
        <v>27</v>
      </c>
      <c r="B44" t="s">
        <v>676</v>
      </c>
      <c r="C44" s="2">
        <v>1474653.24</v>
      </c>
      <c r="D44" s="2">
        <v>167501.74</v>
      </c>
      <c r="E44" s="2">
        <v>91231.45</v>
      </c>
      <c r="F44" t="s">
        <v>635</v>
      </c>
      <c r="G44" t="s">
        <v>635</v>
      </c>
      <c r="H44" t="s">
        <v>635</v>
      </c>
      <c r="I44" s="2">
        <v>548628.45</v>
      </c>
      <c r="J44" t="s">
        <v>635</v>
      </c>
      <c r="K44" t="s">
        <v>635</v>
      </c>
      <c r="L44" t="s">
        <v>635</v>
      </c>
      <c r="M44" s="2">
        <v>849754.51</v>
      </c>
      <c r="N44" t="s">
        <v>635</v>
      </c>
      <c r="O44" s="2">
        <v>23125.76</v>
      </c>
      <c r="P44" s="2">
        <v>826628.75</v>
      </c>
      <c r="T44" t="s">
        <v>615</v>
      </c>
      <c r="U44" s="2">
        <v>42</v>
      </c>
      <c r="V44" s="2" t="s">
        <v>686</v>
      </c>
      <c r="W44" s="2">
        <v>122253.11</v>
      </c>
      <c r="X44" s="2">
        <v>29557.43</v>
      </c>
      <c r="Y44" s="2">
        <v>-8103.53</v>
      </c>
      <c r="Z44" s="2" t="s">
        <v>635</v>
      </c>
      <c r="AA44" s="2" t="s">
        <v>635</v>
      </c>
      <c r="AB44" s="2">
        <v>-886.8</v>
      </c>
      <c r="AC44" s="2">
        <v>52415.83</v>
      </c>
      <c r="AD44" s="2" t="s">
        <v>635</v>
      </c>
      <c r="AE44" s="2" t="s">
        <v>635</v>
      </c>
      <c r="AF44" s="2">
        <v>13405.99</v>
      </c>
      <c r="AG44" s="2">
        <v>46469.12</v>
      </c>
      <c r="AH44" s="2">
        <v>26754.83</v>
      </c>
      <c r="AI44" s="2">
        <v>15134.57</v>
      </c>
      <c r="AJ44" s="2">
        <v>58089.38</v>
      </c>
    </row>
    <row r="45" spans="1:36" ht="24.666666666666668" customHeight="1">
      <c r="A45">
        <v>28</v>
      </c>
      <c r="B45" t="s">
        <v>497</v>
      </c>
      <c r="C45" s="2">
        <v>699792.87</v>
      </c>
      <c r="D45" s="2">
        <v>73390.81</v>
      </c>
      <c r="E45">
        <v>90.52</v>
      </c>
      <c r="F45" t="s">
        <v>635</v>
      </c>
      <c r="G45" t="s">
        <v>635</v>
      </c>
      <c r="H45">
        <v>34.64</v>
      </c>
      <c r="I45" s="2">
        <v>7680.79</v>
      </c>
      <c r="J45" t="s">
        <v>635</v>
      </c>
      <c r="K45" t="s">
        <v>635</v>
      </c>
      <c r="L45">
        <v>36.6</v>
      </c>
      <c r="M45" s="2">
        <v>618813.76</v>
      </c>
      <c r="N45" s="2">
        <v>88281.65</v>
      </c>
      <c r="O45" s="2">
        <v>257747.72</v>
      </c>
      <c r="P45" s="2">
        <v>449347.69</v>
      </c>
      <c r="T45" t="s">
        <v>615</v>
      </c>
      <c r="U45" s="2">
        <v>43</v>
      </c>
      <c r="V45" s="2" t="s">
        <v>687</v>
      </c>
      <c r="W45" s="2">
        <v>2832506.85</v>
      </c>
      <c r="X45" s="2">
        <v>250276.64</v>
      </c>
      <c r="Y45" s="2">
        <v>136304.74</v>
      </c>
      <c r="Z45" s="2">
        <v>-5436.42</v>
      </c>
      <c r="AA45" s="2">
        <v>0.26</v>
      </c>
      <c r="AB45" s="2">
        <v>5557.68</v>
      </c>
      <c r="AC45" s="2">
        <v>1485594.99</v>
      </c>
      <c r="AD45" s="2">
        <v>148188.42</v>
      </c>
      <c r="AE45" s="2">
        <v>283580.36</v>
      </c>
      <c r="AF45" s="2">
        <v>220130.82</v>
      </c>
      <c r="AG45" s="2">
        <v>1010308.14</v>
      </c>
      <c r="AH45" s="2">
        <v>671782.74</v>
      </c>
      <c r="AI45" s="2">
        <v>690964.18</v>
      </c>
      <c r="AJ45" s="2">
        <v>991126.71</v>
      </c>
    </row>
    <row r="46" spans="1:36" ht="24.666666666666668" customHeight="1">
      <c r="A46">
        <v>29</v>
      </c>
      <c r="B46" t="s">
        <v>677</v>
      </c>
      <c r="C46" s="2">
        <v>1715322.95</v>
      </c>
      <c r="D46" s="2">
        <v>93879.94</v>
      </c>
      <c r="E46">
        <v>267.41</v>
      </c>
      <c r="F46" t="s">
        <v>635</v>
      </c>
      <c r="G46" t="s">
        <v>635</v>
      </c>
      <c r="H46" t="s">
        <v>635</v>
      </c>
      <c r="I46" s="2">
        <v>1104074.75</v>
      </c>
      <c r="J46" s="2">
        <v>263359.81</v>
      </c>
      <c r="K46" t="s">
        <v>635</v>
      </c>
      <c r="L46" s="2">
        <v>33109.29</v>
      </c>
      <c r="M46" s="2">
        <v>287385.15</v>
      </c>
      <c r="N46" s="2">
        <v>202594.51</v>
      </c>
      <c r="O46" s="2">
        <v>176791.86</v>
      </c>
      <c r="P46" s="2">
        <v>313187.8</v>
      </c>
      <c r="T46" t="s">
        <v>615</v>
      </c>
      <c r="U46" s="2">
        <v>44</v>
      </c>
      <c r="V46" s="2" t="s">
        <v>688</v>
      </c>
      <c r="W46" s="2">
        <v>845121.46</v>
      </c>
      <c r="X46" s="2">
        <v>79478.28</v>
      </c>
      <c r="Y46" s="2">
        <v>166.17</v>
      </c>
      <c r="Z46" s="2" t="s">
        <v>635</v>
      </c>
      <c r="AA46" s="2" t="s">
        <v>635</v>
      </c>
      <c r="AB46" s="2" t="s">
        <v>635</v>
      </c>
      <c r="AC46" s="2">
        <v>463479.69</v>
      </c>
      <c r="AD46" s="2">
        <v>88132.99</v>
      </c>
      <c r="AE46" s="2" t="s">
        <v>635</v>
      </c>
      <c r="AF46" s="2">
        <v>55217.4</v>
      </c>
      <c r="AG46" s="2">
        <v>269414.08</v>
      </c>
      <c r="AH46" s="2">
        <v>271450.14</v>
      </c>
      <c r="AI46" s="2">
        <v>236316.14</v>
      </c>
      <c r="AJ46" s="2">
        <v>304548.08</v>
      </c>
    </row>
    <row r="47" spans="1:36" ht="24.666666666666668" customHeight="1">
      <c r="A47">
        <v>30</v>
      </c>
      <c r="B47" t="s">
        <v>678</v>
      </c>
      <c r="C47" s="2">
        <v>178526.29</v>
      </c>
      <c r="D47" s="2">
        <v>29579.8</v>
      </c>
      <c r="E47">
        <v>231.32</v>
      </c>
      <c r="F47" t="s">
        <v>635</v>
      </c>
      <c r="G47" t="s">
        <v>635</v>
      </c>
      <c r="H47" t="s">
        <v>635</v>
      </c>
      <c r="I47" s="2">
        <v>12268.97</v>
      </c>
      <c r="J47" t="s">
        <v>635</v>
      </c>
      <c r="K47" t="s">
        <v>635</v>
      </c>
      <c r="L47">
        <v>174.52</v>
      </c>
      <c r="M47" s="2">
        <v>137083.36</v>
      </c>
      <c r="N47" s="2">
        <v>131575.31</v>
      </c>
      <c r="O47" s="2">
        <v>132107.04</v>
      </c>
      <c r="P47" s="2">
        <v>136551.63</v>
      </c>
      <c r="T47" t="s">
        <v>615</v>
      </c>
      <c r="U47" s="2">
        <v>45</v>
      </c>
      <c r="V47" s="2" t="s">
        <v>689</v>
      </c>
      <c r="W47" s="2">
        <v>1482400.1</v>
      </c>
      <c r="X47" s="2">
        <v>167505.39</v>
      </c>
      <c r="Y47" s="2">
        <v>2029.39</v>
      </c>
      <c r="Z47" s="2" t="s">
        <v>635</v>
      </c>
      <c r="AA47" s="2" t="s">
        <v>635</v>
      </c>
      <c r="AB47" s="2" t="s">
        <v>635</v>
      </c>
      <c r="AC47" s="2">
        <v>828229.87</v>
      </c>
      <c r="AD47" s="2" t="s">
        <v>635</v>
      </c>
      <c r="AE47" s="2" t="s">
        <v>635</v>
      </c>
      <c r="AF47" s="2">
        <v>35093.71</v>
      </c>
      <c r="AG47" s="2">
        <v>523787.94</v>
      </c>
      <c r="AH47" s="2">
        <v>252035.01</v>
      </c>
      <c r="AI47" s="2">
        <v>270304.11</v>
      </c>
      <c r="AJ47" s="2">
        <v>505518.84</v>
      </c>
    </row>
    <row r="48" spans="1:36" ht="24.666666666666668" customHeight="1">
      <c r="A48">
        <v>31</v>
      </c>
      <c r="B48" t="s">
        <v>679</v>
      </c>
      <c r="C48" s="2">
        <v>1016271.77</v>
      </c>
      <c r="D48" s="2">
        <v>169103.69</v>
      </c>
      <c r="E48" t="s">
        <v>635</v>
      </c>
      <c r="F48" t="s">
        <v>635</v>
      </c>
      <c r="G48" t="s">
        <v>635</v>
      </c>
      <c r="H48" t="s">
        <v>635</v>
      </c>
      <c r="I48" s="2">
        <v>144694.49</v>
      </c>
      <c r="J48" s="2">
        <v>157185.55</v>
      </c>
      <c r="K48" t="s">
        <v>635</v>
      </c>
      <c r="L48" s="2">
        <v>89336.67</v>
      </c>
      <c r="M48" s="2">
        <v>634624.71</v>
      </c>
      <c r="N48" s="2">
        <v>326974.92</v>
      </c>
      <c r="O48" s="2">
        <v>317290.81</v>
      </c>
      <c r="P48" s="2">
        <v>644308.82</v>
      </c>
      <c r="T48" t="s">
        <v>615</v>
      </c>
      <c r="U48" s="2">
        <v>46</v>
      </c>
      <c r="V48" s="2" t="s">
        <v>470</v>
      </c>
      <c r="W48" s="2">
        <v>3972143.73</v>
      </c>
      <c r="X48" s="2">
        <v>90465.88</v>
      </c>
      <c r="Y48" s="2" t="s">
        <v>635</v>
      </c>
      <c r="Z48" s="2" t="s">
        <v>635</v>
      </c>
      <c r="AA48" s="2" t="s">
        <v>635</v>
      </c>
      <c r="AB48" s="2" t="s">
        <v>635</v>
      </c>
      <c r="AC48" s="2">
        <v>54297.77</v>
      </c>
      <c r="AD48" s="2" t="s">
        <v>635</v>
      </c>
      <c r="AE48" s="2" t="s">
        <v>635</v>
      </c>
      <c r="AF48" s="2">
        <v>701.63</v>
      </c>
      <c r="AG48" s="2">
        <v>3828081.71</v>
      </c>
      <c r="AH48" s="2">
        <v>330039.89</v>
      </c>
      <c r="AI48" s="2">
        <v>686110.32</v>
      </c>
      <c r="AJ48" s="2">
        <v>3472011.29</v>
      </c>
    </row>
    <row r="49" spans="1:36" ht="24.666666666666668" customHeight="1">
      <c r="A49">
        <v>32</v>
      </c>
      <c r="B49" t="s">
        <v>680</v>
      </c>
      <c r="C49" s="2">
        <v>110700.81</v>
      </c>
      <c r="D49" s="2">
        <v>21126.82</v>
      </c>
      <c r="E49">
        <v>105.21</v>
      </c>
      <c r="F49" t="s">
        <v>635</v>
      </c>
      <c r="G49" t="s">
        <v>635</v>
      </c>
      <c r="H49" t="s">
        <v>635</v>
      </c>
      <c r="I49" s="2">
        <v>14544.82</v>
      </c>
      <c r="J49" t="s">
        <v>635</v>
      </c>
      <c r="K49">
        <v>41.96</v>
      </c>
      <c r="L49" s="2">
        <v>2865.77</v>
      </c>
      <c r="M49" s="2">
        <v>77958.2</v>
      </c>
      <c r="N49" s="2">
        <v>24580.18</v>
      </c>
      <c r="O49" s="2">
        <v>35147.38</v>
      </c>
      <c r="P49" s="2">
        <v>67391</v>
      </c>
      <c r="T49" t="s">
        <v>615</v>
      </c>
      <c r="U49" s="2">
        <v>47</v>
      </c>
      <c r="V49" s="2" t="s">
        <v>690</v>
      </c>
      <c r="W49" s="2">
        <v>214942.39</v>
      </c>
      <c r="X49" s="2">
        <v>29893.25</v>
      </c>
      <c r="Y49" s="2">
        <v>12182.47</v>
      </c>
      <c r="Z49" s="2" t="s">
        <v>635</v>
      </c>
      <c r="AA49" s="2" t="s">
        <v>635</v>
      </c>
      <c r="AB49" s="2" t="s">
        <v>635</v>
      </c>
      <c r="AC49" s="2">
        <v>125690.47</v>
      </c>
      <c r="AD49" s="2" t="s">
        <v>635</v>
      </c>
      <c r="AE49" s="2" t="s">
        <v>635</v>
      </c>
      <c r="AF49" s="2">
        <v>21742.13</v>
      </c>
      <c r="AG49" s="2">
        <v>93283.26</v>
      </c>
      <c r="AH49" s="2">
        <v>181290.69</v>
      </c>
      <c r="AI49" s="2">
        <v>187994.1</v>
      </c>
      <c r="AJ49" s="2">
        <v>86579.85</v>
      </c>
    </row>
    <row r="50" spans="1:36" ht="24.666666666666668" customHeight="1">
      <c r="A50">
        <v>33</v>
      </c>
      <c r="B50" t="s">
        <v>681</v>
      </c>
      <c r="C50" s="2">
        <v>1546637.04</v>
      </c>
      <c r="D50" s="2">
        <v>90910.62</v>
      </c>
      <c r="E50" t="s">
        <v>635</v>
      </c>
      <c r="F50" t="s">
        <v>635</v>
      </c>
      <c r="G50" t="s">
        <v>635</v>
      </c>
      <c r="H50" t="s">
        <v>635</v>
      </c>
      <c r="I50" s="2">
        <v>28883.12</v>
      </c>
      <c r="J50" t="s">
        <v>635</v>
      </c>
      <c r="K50" t="s">
        <v>635</v>
      </c>
      <c r="L50" s="2">
        <v>8622.86</v>
      </c>
      <c r="M50" s="2">
        <v>1435466.16</v>
      </c>
      <c r="N50" s="2">
        <v>211473.24</v>
      </c>
      <c r="O50" s="2">
        <v>293901.63</v>
      </c>
      <c r="P50" s="2">
        <v>1353037.76</v>
      </c>
      <c r="T50" t="s">
        <v>615</v>
      </c>
      <c r="U50" s="2">
        <v>48</v>
      </c>
      <c r="V50" s="2" t="s">
        <v>600</v>
      </c>
      <c r="W50" s="2">
        <v>634808.96</v>
      </c>
      <c r="X50" s="2">
        <v>139299.26</v>
      </c>
      <c r="Y50" s="2">
        <v>64.2</v>
      </c>
      <c r="Z50" s="2" t="s">
        <v>635</v>
      </c>
      <c r="AA50" s="2" t="s">
        <v>635</v>
      </c>
      <c r="AB50" s="2" t="s">
        <v>635</v>
      </c>
      <c r="AC50" s="2">
        <v>94071.57</v>
      </c>
      <c r="AD50" s="2" t="s">
        <v>635</v>
      </c>
      <c r="AE50" s="2">
        <v>-524.02</v>
      </c>
      <c r="AF50" s="2">
        <v>18635.96</v>
      </c>
      <c r="AG50" s="2">
        <v>420662.3</v>
      </c>
      <c r="AH50" s="2">
        <v>311571.06</v>
      </c>
      <c r="AI50" s="2">
        <v>315024.62</v>
      </c>
      <c r="AJ50" s="2">
        <v>417208.74</v>
      </c>
    </row>
    <row r="51" spans="1:36" ht="24.666666666666668" customHeight="1">
      <c r="A51">
        <v>34</v>
      </c>
      <c r="B51" t="s">
        <v>682</v>
      </c>
      <c r="C51" s="2">
        <v>326964.59</v>
      </c>
      <c r="D51" s="2">
        <v>90337.49</v>
      </c>
      <c r="E51">
        <v>326.77</v>
      </c>
      <c r="F51" t="s">
        <v>635</v>
      </c>
      <c r="G51" t="s">
        <v>635</v>
      </c>
      <c r="H51">
        <v>92.16</v>
      </c>
      <c r="I51" s="2">
        <v>2704.34</v>
      </c>
      <c r="J51" t="s">
        <v>635</v>
      </c>
      <c r="K51" t="s">
        <v>635</v>
      </c>
      <c r="L51">
        <v>-13.91</v>
      </c>
      <c r="M51" s="2">
        <v>234143.47</v>
      </c>
      <c r="N51" s="2">
        <v>18197.91</v>
      </c>
      <c r="O51" s="2">
        <v>24480.15</v>
      </c>
      <c r="P51" s="2">
        <v>227861.23</v>
      </c>
      <c r="T51" t="s">
        <v>615</v>
      </c>
      <c r="U51" s="2">
        <v>49</v>
      </c>
      <c r="V51" s="2" t="s">
        <v>691</v>
      </c>
      <c r="W51" s="2">
        <v>265186.63</v>
      </c>
      <c r="X51" s="2">
        <v>26596.17</v>
      </c>
      <c r="Y51" s="2">
        <v>85182.88</v>
      </c>
      <c r="Z51" s="2" t="s">
        <v>635</v>
      </c>
      <c r="AA51" s="2" t="s">
        <v>635</v>
      </c>
      <c r="AB51" s="2">
        <v>5887.8</v>
      </c>
      <c r="AC51" s="2">
        <v>232404.94</v>
      </c>
      <c r="AD51" s="2" t="s">
        <v>635</v>
      </c>
      <c r="AE51" s="2" t="s">
        <v>635</v>
      </c>
      <c r="AF51" s="2">
        <v>30404.48</v>
      </c>
      <c r="AG51" s="2">
        <v>115885.09</v>
      </c>
      <c r="AH51" s="2">
        <v>63858.13</v>
      </c>
      <c r="AI51" s="2">
        <v>55279.64</v>
      </c>
      <c r="AJ51" s="2">
        <v>124463.58</v>
      </c>
    </row>
    <row r="52" spans="1:36" ht="24.666666666666668" customHeight="1">
      <c r="A52">
        <v>35</v>
      </c>
      <c r="B52" t="s">
        <v>315</v>
      </c>
      <c r="C52" s="2">
        <v>6389668.17</v>
      </c>
      <c r="D52" s="2">
        <v>1444226.59</v>
      </c>
      <c r="E52" s="2">
        <v>1951067.98</v>
      </c>
      <c r="F52" s="2">
        <v>13367.32</v>
      </c>
      <c r="G52" s="2">
        <v>7853.91</v>
      </c>
      <c r="H52" s="2">
        <v>61566.58</v>
      </c>
      <c r="I52" s="2">
        <v>1630927.54</v>
      </c>
      <c r="J52" s="2">
        <v>2439096.94</v>
      </c>
      <c r="K52" s="2">
        <v>101208.69</v>
      </c>
      <c r="L52" s="2">
        <v>67352.9</v>
      </c>
      <c r="M52" s="2">
        <v>2752283.94</v>
      </c>
      <c r="N52" s="2">
        <v>1622048.47</v>
      </c>
      <c r="O52" s="2">
        <v>1735966.31</v>
      </c>
      <c r="P52" s="2">
        <v>2638366.11</v>
      </c>
      <c r="T52" t="s">
        <v>615</v>
      </c>
      <c r="U52" s="2">
        <v>50</v>
      </c>
      <c r="V52" s="2" t="s">
        <v>692</v>
      </c>
      <c r="W52" s="2">
        <v>656133.99</v>
      </c>
      <c r="X52" s="2">
        <v>95890.36</v>
      </c>
      <c r="Y52" s="2">
        <v>100701.01</v>
      </c>
      <c r="Z52" s="2" t="s">
        <v>635</v>
      </c>
      <c r="AA52" s="2" t="s">
        <v>635</v>
      </c>
      <c r="AB52" s="2" t="s">
        <v>635</v>
      </c>
      <c r="AC52" s="2">
        <v>481533.94</v>
      </c>
      <c r="AD52" s="2">
        <v>1412.53</v>
      </c>
      <c r="AE52" s="2" t="s">
        <v>635</v>
      </c>
      <c r="AF52" s="2">
        <v>91665.09</v>
      </c>
      <c r="AG52" s="2">
        <v>269663.25</v>
      </c>
      <c r="AH52" s="2">
        <v>143437.78</v>
      </c>
      <c r="AI52" s="2">
        <v>143021.21</v>
      </c>
      <c r="AJ52" s="2">
        <v>270079.82</v>
      </c>
    </row>
    <row r="53" spans="1:36" ht="24.666666666666668" customHeight="1">
      <c r="A53">
        <v>36</v>
      </c>
      <c r="B53" t="s">
        <v>549</v>
      </c>
      <c r="C53" s="2">
        <v>306892.78</v>
      </c>
      <c r="D53" s="2">
        <v>101794.36</v>
      </c>
      <c r="E53" t="s">
        <v>635</v>
      </c>
      <c r="F53" t="s">
        <v>635</v>
      </c>
      <c r="G53" t="s">
        <v>635</v>
      </c>
      <c r="H53" t="s">
        <v>635</v>
      </c>
      <c r="I53">
        <v>861.04</v>
      </c>
      <c r="J53" t="s">
        <v>635</v>
      </c>
      <c r="K53" t="s">
        <v>635</v>
      </c>
      <c r="L53" t="s">
        <v>635</v>
      </c>
      <c r="M53" s="2">
        <v>204237.39</v>
      </c>
      <c r="N53" s="2">
        <v>88224.59</v>
      </c>
      <c r="O53" s="2">
        <v>110807.8</v>
      </c>
      <c r="P53" s="2">
        <v>181654.18</v>
      </c>
      <c r="T53" t="s">
        <v>615</v>
      </c>
      <c r="U53" s="2">
        <v>1</v>
      </c>
      <c r="V53" s="2" t="s">
        <v>319</v>
      </c>
      <c r="W53" s="2">
        <v>3373933.19</v>
      </c>
      <c r="X53" s="2">
        <v>790900.11</v>
      </c>
      <c r="Y53" s="2">
        <v>8175.84</v>
      </c>
      <c r="Z53" s="2" t="s">
        <v>635</v>
      </c>
      <c r="AA53" s="2" t="s">
        <v>635</v>
      </c>
      <c r="AB53" s="2" t="s">
        <v>635</v>
      </c>
      <c r="AC53" s="2">
        <v>289908.7</v>
      </c>
      <c r="AD53" s="2">
        <v>5849.82</v>
      </c>
      <c r="AE53" s="2">
        <v>493070</v>
      </c>
      <c r="AF53" s="2">
        <v>181118.46</v>
      </c>
      <c r="AG53" s="2">
        <v>1983498.86</v>
      </c>
      <c r="AH53" s="2">
        <v>1051206.45</v>
      </c>
      <c r="AI53" s="2">
        <v>1209444.32</v>
      </c>
      <c r="AJ53" s="2">
        <v>1825260.98</v>
      </c>
    </row>
    <row r="54" spans="1:36" ht="24.666666666666668" customHeight="1">
      <c r="A54">
        <v>37</v>
      </c>
      <c r="B54" t="s">
        <v>548</v>
      </c>
      <c r="C54" s="2">
        <v>317910.81</v>
      </c>
      <c r="D54" s="2">
        <v>72283.18</v>
      </c>
      <c r="E54" s="2">
        <v>3176.26</v>
      </c>
      <c r="F54" t="s">
        <v>635</v>
      </c>
      <c r="G54" t="s">
        <v>635</v>
      </c>
      <c r="H54">
        <v>873.35</v>
      </c>
      <c r="I54" s="2">
        <v>30472.04</v>
      </c>
      <c r="J54" t="s">
        <v>635</v>
      </c>
      <c r="K54" t="s">
        <v>635</v>
      </c>
      <c r="L54" s="2">
        <v>13922.8</v>
      </c>
      <c r="M54" s="2">
        <v>231381.31</v>
      </c>
      <c r="N54" s="2">
        <v>83920.34</v>
      </c>
      <c r="O54" s="2">
        <v>114834.07</v>
      </c>
      <c r="P54" s="2">
        <v>200467.58</v>
      </c>
      <c r="T54" t="s">
        <v>615</v>
      </c>
      <c r="U54" s="2">
        <v>2</v>
      </c>
      <c r="V54" s="2" t="s">
        <v>693</v>
      </c>
      <c r="W54" s="2">
        <v>1609704.95</v>
      </c>
      <c r="X54" s="2">
        <v>359073.56</v>
      </c>
      <c r="Y54" s="2" t="s">
        <v>635</v>
      </c>
      <c r="Z54" s="2" t="s">
        <v>635</v>
      </c>
      <c r="AA54" s="2" t="s">
        <v>635</v>
      </c>
      <c r="AB54" s="2" t="s">
        <v>635</v>
      </c>
      <c r="AC54" s="2">
        <v>194470.68</v>
      </c>
      <c r="AD54" s="2" t="s">
        <v>635</v>
      </c>
      <c r="AE54" s="2" t="s">
        <v>635</v>
      </c>
      <c r="AF54" s="2">
        <v>50302.31</v>
      </c>
      <c r="AG54" s="2">
        <v>1106463.02</v>
      </c>
      <c r="AH54" s="2">
        <v>384461.56</v>
      </c>
      <c r="AI54" s="2">
        <v>267254.03</v>
      </c>
      <c r="AJ54" s="2">
        <v>1223670.54</v>
      </c>
    </row>
    <row r="55" spans="1:36" ht="24.666666666666668" customHeight="1">
      <c r="A55">
        <v>38</v>
      </c>
      <c r="B55" t="s">
        <v>683</v>
      </c>
      <c r="C55" s="2">
        <v>1665522.8</v>
      </c>
      <c r="D55" s="2">
        <v>89828.98</v>
      </c>
      <c r="E55" s="2">
        <v>44292.26</v>
      </c>
      <c r="F55">
        <v>-0.08</v>
      </c>
      <c r="G55" t="s">
        <v>635</v>
      </c>
      <c r="H55" s="2">
        <v>10677.8</v>
      </c>
      <c r="I55" s="2">
        <v>826264.91</v>
      </c>
      <c r="J55" s="2">
        <v>61951.92</v>
      </c>
      <c r="K55" t="s">
        <v>635</v>
      </c>
      <c r="L55" s="2">
        <v>217752.2</v>
      </c>
      <c r="M55" s="2">
        <v>938843.57</v>
      </c>
      <c r="N55" s="2">
        <v>672551.54</v>
      </c>
      <c r="O55" s="2">
        <v>857929.82</v>
      </c>
      <c r="P55" s="2">
        <v>753465.29</v>
      </c>
      <c r="T55" t="s">
        <v>615</v>
      </c>
      <c r="U55" s="2">
        <v>3</v>
      </c>
      <c r="V55" s="2" t="s">
        <v>321</v>
      </c>
      <c r="W55" s="2">
        <v>2601642.87</v>
      </c>
      <c r="X55" s="2">
        <v>221644.91</v>
      </c>
      <c r="Y55" s="2">
        <v>43060.4</v>
      </c>
      <c r="Z55" s="2">
        <v>8545.58</v>
      </c>
      <c r="AA55" s="2" t="s">
        <v>635</v>
      </c>
      <c r="AB55" s="2">
        <v>1270.46</v>
      </c>
      <c r="AC55" s="2">
        <v>753602.22</v>
      </c>
      <c r="AD55" s="2">
        <v>572567.56</v>
      </c>
      <c r="AE55" s="2">
        <v>452915.75</v>
      </c>
      <c r="AF55" s="2">
        <v>302395.12</v>
      </c>
      <c r="AG55" s="2">
        <v>953643.06</v>
      </c>
      <c r="AH55" s="2">
        <v>325007.39</v>
      </c>
      <c r="AI55" s="2">
        <v>358465.7</v>
      </c>
      <c r="AJ55" s="2">
        <v>920184.75</v>
      </c>
    </row>
    <row r="56" spans="1:36" ht="24.666666666666668" customHeight="1">
      <c r="A56">
        <v>39</v>
      </c>
      <c r="B56" t="s">
        <v>684</v>
      </c>
      <c r="C56" s="2">
        <v>851117.13</v>
      </c>
      <c r="D56" s="2">
        <v>104687.47</v>
      </c>
      <c r="E56" s="2">
        <v>4833.6</v>
      </c>
      <c r="F56" t="s">
        <v>635</v>
      </c>
      <c r="G56" t="s">
        <v>635</v>
      </c>
      <c r="H56" s="2">
        <v>1478.59</v>
      </c>
      <c r="I56" s="2">
        <v>-359797.59</v>
      </c>
      <c r="J56" t="s">
        <v>635</v>
      </c>
      <c r="K56" t="s">
        <v>635</v>
      </c>
      <c r="L56" s="2">
        <v>-50239.34</v>
      </c>
      <c r="M56" s="2">
        <v>1059342.92</v>
      </c>
      <c r="N56" t="s">
        <v>635</v>
      </c>
      <c r="O56" s="2">
        <v>-51794.15</v>
      </c>
      <c r="P56" s="2">
        <v>1111137.07</v>
      </c>
      <c r="T56" t="s">
        <v>615</v>
      </c>
      <c r="U56" s="2">
        <v>4</v>
      </c>
      <c r="V56" s="2" t="s">
        <v>694</v>
      </c>
      <c r="W56" s="2">
        <v>5082737.1</v>
      </c>
      <c r="X56" s="2">
        <v>357789.14</v>
      </c>
      <c r="Y56" s="2">
        <v>97635.7</v>
      </c>
      <c r="Z56" s="2">
        <v>29300.21</v>
      </c>
      <c r="AA56" s="2">
        <v>464525.42</v>
      </c>
      <c r="AB56" s="2">
        <v>143247.13</v>
      </c>
      <c r="AC56" s="2">
        <v>2561210.55</v>
      </c>
      <c r="AD56" s="2">
        <v>789669.44</v>
      </c>
      <c r="AE56" s="2">
        <v>1141795.04</v>
      </c>
      <c r="AF56" s="2">
        <v>601935.35</v>
      </c>
      <c r="AG56" s="2">
        <v>1282422.48</v>
      </c>
      <c r="AH56" s="2">
        <v>483471.06</v>
      </c>
      <c r="AI56" s="2">
        <v>521067.97</v>
      </c>
      <c r="AJ56" s="2">
        <v>1244825.56</v>
      </c>
    </row>
    <row r="57" spans="1:36" ht="24.666666666666668" customHeight="1">
      <c r="A57">
        <v>40</v>
      </c>
      <c r="B57" t="s">
        <v>685</v>
      </c>
      <c r="C57" s="2">
        <v>53019.96</v>
      </c>
      <c r="D57" s="2">
        <v>7077.67</v>
      </c>
      <c r="E57" t="s">
        <v>635</v>
      </c>
      <c r="F57" t="s">
        <v>635</v>
      </c>
      <c r="G57" t="s">
        <v>635</v>
      </c>
      <c r="H57" t="s">
        <v>635</v>
      </c>
      <c r="I57" s="2">
        <v>3588.72</v>
      </c>
      <c r="J57" s="2">
        <v>11651.7</v>
      </c>
      <c r="K57" t="s">
        <v>635</v>
      </c>
      <c r="L57" s="2">
        <v>5114.37</v>
      </c>
      <c r="M57" s="2">
        <v>35816.25</v>
      </c>
      <c r="N57">
        <v>148.46</v>
      </c>
      <c r="O57" s="2">
        <v>17948.94</v>
      </c>
      <c r="P57" s="2">
        <v>18015.76</v>
      </c>
      <c r="T57" t="s">
        <v>615</v>
      </c>
      <c r="U57" s="2">
        <v>5</v>
      </c>
      <c r="V57" s="2" t="s">
        <v>695</v>
      </c>
      <c r="W57" s="2">
        <v>647310.03</v>
      </c>
      <c r="X57" s="2">
        <v>102662.26</v>
      </c>
      <c r="Y57" s="2" t="s">
        <v>635</v>
      </c>
      <c r="Z57" s="2" t="s">
        <v>635</v>
      </c>
      <c r="AA57" s="2" t="s">
        <v>635</v>
      </c>
      <c r="AB57" s="2" t="s">
        <v>635</v>
      </c>
      <c r="AC57" s="2">
        <v>184533.97</v>
      </c>
      <c r="AD57" s="2">
        <v>4921.11</v>
      </c>
      <c r="AE57" s="2">
        <v>52316.45</v>
      </c>
      <c r="AF57" s="2">
        <v>47211.97</v>
      </c>
      <c r="AG57" s="2">
        <v>350088.21</v>
      </c>
      <c r="AH57" s="2">
        <v>199969.6</v>
      </c>
      <c r="AI57" s="2">
        <v>214205.24</v>
      </c>
      <c r="AJ57" s="2">
        <v>335852.57</v>
      </c>
    </row>
    <row r="58" spans="1:36" ht="24.666666666666668" customHeight="1">
      <c r="A58">
        <v>41</v>
      </c>
      <c r="B58" t="s">
        <v>544</v>
      </c>
      <c r="C58" s="2">
        <v>123972.83</v>
      </c>
      <c r="D58" s="2">
        <v>5896.09</v>
      </c>
      <c r="E58" t="s">
        <v>635</v>
      </c>
      <c r="F58" t="s">
        <v>635</v>
      </c>
      <c r="G58" t="s">
        <v>635</v>
      </c>
      <c r="H58" t="s">
        <v>635</v>
      </c>
      <c r="I58" s="2">
        <v>33204.59</v>
      </c>
      <c r="J58" s="2">
        <v>32613.76</v>
      </c>
      <c r="K58" s="2">
        <v>2578.66</v>
      </c>
      <c r="L58" s="2">
        <v>5738.95</v>
      </c>
      <c r="M58" s="2">
        <v>55418.69</v>
      </c>
      <c r="N58" s="2">
        <v>7853.65</v>
      </c>
      <c r="O58" s="2">
        <v>8615.72</v>
      </c>
      <c r="P58" s="2">
        <v>54656.62</v>
      </c>
      <c r="T58" t="s">
        <v>615</v>
      </c>
      <c r="U58" s="2">
        <v>6</v>
      </c>
      <c r="V58" s="2" t="s">
        <v>696</v>
      </c>
      <c r="W58" s="2">
        <v>1242929.42</v>
      </c>
      <c r="X58" s="2">
        <v>316436.96</v>
      </c>
      <c r="Y58" s="2">
        <v>87914.38</v>
      </c>
      <c r="Z58" s="2">
        <v>15373.61</v>
      </c>
      <c r="AA58" s="2" t="s">
        <v>635</v>
      </c>
      <c r="AB58" s="2">
        <v>11628.33</v>
      </c>
      <c r="AC58" s="2">
        <v>24123.12</v>
      </c>
      <c r="AD58" s="2">
        <v>27505.21</v>
      </c>
      <c r="AE58" s="2">
        <v>219650.29</v>
      </c>
      <c r="AF58" s="2">
        <v>19832.4</v>
      </c>
      <c r="AG58" s="2">
        <v>766705.89</v>
      </c>
      <c r="AH58" s="2">
        <v>197087.36</v>
      </c>
      <c r="AI58" s="2">
        <v>215199.66</v>
      </c>
      <c r="AJ58" s="2">
        <v>748593.6</v>
      </c>
    </row>
    <row r="59" spans="1:36" ht="24.666666666666668" customHeight="1">
      <c r="A59">
        <v>42</v>
      </c>
      <c r="B59" t="s">
        <v>686</v>
      </c>
      <c r="C59" s="2">
        <v>122253.11</v>
      </c>
      <c r="D59" s="2">
        <v>29557.43</v>
      </c>
      <c r="E59" s="2">
        <v>-8103.53</v>
      </c>
      <c r="F59" t="s">
        <v>635</v>
      </c>
      <c r="G59" t="s">
        <v>635</v>
      </c>
      <c r="H59">
        <v>-886.8</v>
      </c>
      <c r="I59" s="2">
        <v>52415.83</v>
      </c>
      <c r="J59" t="s">
        <v>635</v>
      </c>
      <c r="K59" t="s">
        <v>635</v>
      </c>
      <c r="L59" s="2">
        <v>13405.99</v>
      </c>
      <c r="M59" s="2">
        <v>46469.12</v>
      </c>
      <c r="N59" s="2">
        <v>26754.83</v>
      </c>
      <c r="O59" s="2">
        <v>15134.57</v>
      </c>
      <c r="P59" s="2">
        <v>58089.38</v>
      </c>
      <c r="T59" t="s">
        <v>615</v>
      </c>
      <c r="U59" s="2">
        <v>7</v>
      </c>
      <c r="V59" s="2" t="s">
        <v>554</v>
      </c>
      <c r="W59" s="2">
        <v>770363.1</v>
      </c>
      <c r="X59" s="2">
        <v>90480.32</v>
      </c>
      <c r="Y59" s="2">
        <v>20454.73</v>
      </c>
      <c r="Z59" s="2" t="s">
        <v>635</v>
      </c>
      <c r="AA59" s="2" t="s">
        <v>635</v>
      </c>
      <c r="AB59" s="2">
        <v>4441.14</v>
      </c>
      <c r="AC59" s="2">
        <v>263642.05</v>
      </c>
      <c r="AD59" s="2">
        <v>6095.15</v>
      </c>
      <c r="AE59" s="2">
        <v>178448.21</v>
      </c>
      <c r="AF59" s="2">
        <v>59681.67</v>
      </c>
      <c r="AG59" s="2">
        <v>307392.63</v>
      </c>
      <c r="AH59" s="2">
        <v>126688.73</v>
      </c>
      <c r="AI59" s="2">
        <v>131294.67</v>
      </c>
      <c r="AJ59" s="2">
        <v>302786.7</v>
      </c>
    </row>
    <row r="60" spans="1:36" ht="24.666666666666668" customHeight="1">
      <c r="A60">
        <v>43</v>
      </c>
      <c r="B60" t="s">
        <v>687</v>
      </c>
      <c r="C60" s="2">
        <v>2832506.85</v>
      </c>
      <c r="D60" s="2">
        <v>250276.64</v>
      </c>
      <c r="E60" s="2">
        <v>136304.74</v>
      </c>
      <c r="F60" s="2">
        <v>-5436.42</v>
      </c>
      <c r="G60">
        <v>0.26</v>
      </c>
      <c r="H60" s="2">
        <v>5557.68</v>
      </c>
      <c r="I60" s="2">
        <v>1485594.99</v>
      </c>
      <c r="J60" s="2">
        <v>148188.42</v>
      </c>
      <c r="K60" s="2">
        <v>283580.36</v>
      </c>
      <c r="L60" s="2">
        <v>220130.82</v>
      </c>
      <c r="M60" s="2">
        <v>1010308.14</v>
      </c>
      <c r="N60" s="2">
        <v>671782.74</v>
      </c>
      <c r="O60" s="2">
        <v>690964.18</v>
      </c>
      <c r="P60" s="2">
        <v>991126.71</v>
      </c>
      <c r="T60" t="s">
        <v>615</v>
      </c>
      <c r="U60" s="2">
        <v>8</v>
      </c>
      <c r="V60" s="2" t="s">
        <v>556</v>
      </c>
      <c r="W60" s="2">
        <v>599917.7</v>
      </c>
      <c r="X60" s="2">
        <v>51368.27</v>
      </c>
      <c r="Y60" s="2">
        <v>60928.29</v>
      </c>
      <c r="Z60" s="2">
        <v>2026.53</v>
      </c>
      <c r="AA60" s="2" t="s">
        <v>635</v>
      </c>
      <c r="AB60" s="2">
        <v>4332.75</v>
      </c>
      <c r="AC60" s="2">
        <v>4765.9</v>
      </c>
      <c r="AD60" s="2" t="s">
        <v>635</v>
      </c>
      <c r="AE60" s="2">
        <v>551214.29</v>
      </c>
      <c r="AF60" s="2">
        <v>172546.58</v>
      </c>
      <c r="AG60" s="2">
        <v>223737.89</v>
      </c>
      <c r="AH60" s="2">
        <v>46851.42</v>
      </c>
      <c r="AI60" s="2">
        <v>50802.47</v>
      </c>
      <c r="AJ60" s="2">
        <v>219786.84</v>
      </c>
    </row>
    <row r="61" spans="1:36" ht="24.666666666666668" customHeight="1">
      <c r="A61">
        <v>44</v>
      </c>
      <c r="B61" t="s">
        <v>688</v>
      </c>
      <c r="C61" s="2">
        <v>845121.46</v>
      </c>
      <c r="D61" s="2">
        <v>79478.28</v>
      </c>
      <c r="E61">
        <v>166.17</v>
      </c>
      <c r="F61" t="s">
        <v>635</v>
      </c>
      <c r="G61" t="s">
        <v>635</v>
      </c>
      <c r="H61" t="s">
        <v>635</v>
      </c>
      <c r="I61" s="2">
        <v>463479.69</v>
      </c>
      <c r="J61" s="2">
        <v>88132.99</v>
      </c>
      <c r="K61" t="s">
        <v>635</v>
      </c>
      <c r="L61" s="2">
        <v>55217.4</v>
      </c>
      <c r="M61" s="2">
        <v>269414.08</v>
      </c>
      <c r="N61" s="2">
        <v>271450.14</v>
      </c>
      <c r="O61" s="2">
        <v>236316.14</v>
      </c>
      <c r="P61" s="2">
        <v>304548.08</v>
      </c>
      <c r="T61" t="s">
        <v>615</v>
      </c>
      <c r="U61" s="2">
        <v>9</v>
      </c>
      <c r="V61" s="2" t="s">
        <v>697</v>
      </c>
      <c r="W61" s="2">
        <v>880432.04</v>
      </c>
      <c r="X61" s="2">
        <v>33741.46</v>
      </c>
      <c r="Y61" s="2" t="s">
        <v>635</v>
      </c>
      <c r="Z61" s="2" t="s">
        <v>635</v>
      </c>
      <c r="AA61" s="2" t="s">
        <v>635</v>
      </c>
      <c r="AB61" s="2" t="s">
        <v>635</v>
      </c>
      <c r="AC61" s="2">
        <v>808327.21</v>
      </c>
      <c r="AD61" s="2" t="s">
        <v>635</v>
      </c>
      <c r="AE61" s="2" t="s">
        <v>635</v>
      </c>
      <c r="AF61" s="2">
        <v>180491.3</v>
      </c>
      <c r="AG61" s="2">
        <v>218854.67</v>
      </c>
      <c r="AH61" s="2">
        <v>54362.92</v>
      </c>
      <c r="AI61" s="2">
        <v>44184.37</v>
      </c>
      <c r="AJ61" s="2">
        <v>229033.22</v>
      </c>
    </row>
    <row r="62" spans="1:36" ht="24.666666666666668" customHeight="1">
      <c r="A62">
        <v>45</v>
      </c>
      <c r="B62" t="s">
        <v>689</v>
      </c>
      <c r="C62" s="2">
        <v>1482400.1</v>
      </c>
      <c r="D62" s="2">
        <v>167505.39</v>
      </c>
      <c r="E62" s="2">
        <v>2029.39</v>
      </c>
      <c r="F62" t="s">
        <v>635</v>
      </c>
      <c r="G62" t="s">
        <v>635</v>
      </c>
      <c r="H62" t="s">
        <v>635</v>
      </c>
      <c r="I62" s="2">
        <v>828229.87</v>
      </c>
      <c r="J62" t="s">
        <v>635</v>
      </c>
      <c r="K62" t="s">
        <v>635</v>
      </c>
      <c r="L62" s="2">
        <v>35093.71</v>
      </c>
      <c r="M62" s="2">
        <v>523787.94</v>
      </c>
      <c r="N62" s="2">
        <v>252035.01</v>
      </c>
      <c r="O62" s="2">
        <v>270304.11</v>
      </c>
      <c r="P62" s="2">
        <v>505518.84</v>
      </c>
      <c r="T62" t="s">
        <v>615</v>
      </c>
      <c r="U62" s="2">
        <v>10</v>
      </c>
      <c r="V62" s="2" t="s">
        <v>561</v>
      </c>
      <c r="W62" s="2">
        <v>197262.68</v>
      </c>
      <c r="X62" s="2">
        <v>25795.85</v>
      </c>
      <c r="Y62" s="2">
        <v>32709.64</v>
      </c>
      <c r="Z62" s="2" t="s">
        <v>635</v>
      </c>
      <c r="AA62" s="2" t="s">
        <v>635</v>
      </c>
      <c r="AB62" s="2">
        <v>5544.18</v>
      </c>
      <c r="AC62" s="2">
        <v>150028.25</v>
      </c>
      <c r="AD62" s="2">
        <v>15628.66</v>
      </c>
      <c r="AE62" s="2">
        <v>25226.48</v>
      </c>
      <c r="AF62" s="2">
        <v>46507.89</v>
      </c>
      <c r="AG62" s="2">
        <v>54256.79</v>
      </c>
      <c r="AH62" s="2">
        <v>21568.33</v>
      </c>
      <c r="AI62" s="2">
        <v>31097.58</v>
      </c>
      <c r="AJ62" s="2">
        <v>44727.54</v>
      </c>
    </row>
    <row r="63" spans="1:36" ht="24.666666666666668" customHeight="1">
      <c r="A63">
        <v>46</v>
      </c>
      <c r="B63" t="s">
        <v>470</v>
      </c>
      <c r="C63" s="2">
        <v>3972143.73</v>
      </c>
      <c r="D63" s="2">
        <v>90465.88</v>
      </c>
      <c r="E63" t="s">
        <v>635</v>
      </c>
      <c r="F63" t="s">
        <v>635</v>
      </c>
      <c r="G63" t="s">
        <v>635</v>
      </c>
      <c r="H63" t="s">
        <v>635</v>
      </c>
      <c r="I63" s="2">
        <v>54297.77</v>
      </c>
      <c r="J63" t="s">
        <v>635</v>
      </c>
      <c r="K63" t="s">
        <v>635</v>
      </c>
      <c r="L63">
        <v>701.63</v>
      </c>
      <c r="M63" s="2">
        <v>3828081.71</v>
      </c>
      <c r="N63" s="2">
        <v>330039.89</v>
      </c>
      <c r="O63" s="2">
        <v>686110.32</v>
      </c>
      <c r="P63" s="2">
        <v>3472011.29</v>
      </c>
      <c r="T63" t="s">
        <v>615</v>
      </c>
      <c r="U63" s="2">
        <v>11</v>
      </c>
      <c r="V63" s="2" t="s">
        <v>698</v>
      </c>
      <c r="W63" s="2">
        <v>866373.9</v>
      </c>
      <c r="X63" s="2">
        <v>100484.3</v>
      </c>
      <c r="Y63" s="2">
        <v>-8.82</v>
      </c>
      <c r="Z63" s="2" t="s">
        <v>635</v>
      </c>
      <c r="AA63" s="2" t="s">
        <v>635</v>
      </c>
      <c r="AB63" s="2">
        <v>6.72</v>
      </c>
      <c r="AC63" s="2">
        <v>85457.26</v>
      </c>
      <c r="AD63" s="2">
        <v>126365.94</v>
      </c>
      <c r="AE63" s="2" t="s">
        <v>635</v>
      </c>
      <c r="AF63" s="2">
        <v>40824.29</v>
      </c>
      <c r="AG63" s="2">
        <v>594875.16</v>
      </c>
      <c r="AH63" s="2">
        <v>107819.16</v>
      </c>
      <c r="AI63" s="2">
        <v>133756.43</v>
      </c>
      <c r="AJ63" s="2">
        <v>568937.89</v>
      </c>
    </row>
    <row r="64" spans="1:36" ht="24.666666666666668" customHeight="1">
      <c r="A64">
        <v>47</v>
      </c>
      <c r="B64" t="s">
        <v>690</v>
      </c>
      <c r="C64" s="2">
        <v>214942.39</v>
      </c>
      <c r="D64" s="2">
        <v>29893.25</v>
      </c>
      <c r="E64" s="2">
        <v>12182.47</v>
      </c>
      <c r="F64" t="s">
        <v>635</v>
      </c>
      <c r="G64" t="s">
        <v>635</v>
      </c>
      <c r="H64" t="s">
        <v>635</v>
      </c>
      <c r="I64" s="2">
        <v>125690.47</v>
      </c>
      <c r="J64" t="s">
        <v>635</v>
      </c>
      <c r="K64" t="s">
        <v>635</v>
      </c>
      <c r="L64" s="2">
        <v>21742.13</v>
      </c>
      <c r="M64" s="2">
        <v>93283.26</v>
      </c>
      <c r="N64" s="2">
        <v>181290.69</v>
      </c>
      <c r="O64" s="2">
        <v>187994.1</v>
      </c>
      <c r="P64" s="2">
        <v>86579.85</v>
      </c>
      <c r="T64" t="s">
        <v>615</v>
      </c>
      <c r="U64" s="2">
        <v>12</v>
      </c>
      <c r="V64" s="2" t="s">
        <v>699</v>
      </c>
      <c r="W64" s="2">
        <v>402199.23</v>
      </c>
      <c r="X64" s="2">
        <v>33181.55</v>
      </c>
      <c r="Y64" s="2">
        <v>5687.69</v>
      </c>
      <c r="Z64" s="2" t="s">
        <v>635</v>
      </c>
      <c r="AA64" s="2" t="s">
        <v>635</v>
      </c>
      <c r="AB64" s="2">
        <v>1221.04</v>
      </c>
      <c r="AC64" s="2">
        <v>257542.35</v>
      </c>
      <c r="AD64" s="2" t="s">
        <v>635</v>
      </c>
      <c r="AE64" s="2" t="s">
        <v>635</v>
      </c>
      <c r="AF64" s="2">
        <v>57758.28</v>
      </c>
      <c r="AG64" s="2">
        <v>173700.26</v>
      </c>
      <c r="AH64" s="2">
        <v>104764.02</v>
      </c>
      <c r="AI64" s="2">
        <v>144168.69</v>
      </c>
      <c r="AJ64" s="2">
        <v>134295.58</v>
      </c>
    </row>
    <row r="65" spans="1:36" ht="24.666666666666668" customHeight="1">
      <c r="A65">
        <v>48</v>
      </c>
      <c r="B65" t="s">
        <v>600</v>
      </c>
      <c r="C65" s="2">
        <v>634808.96</v>
      </c>
      <c r="D65" s="2">
        <v>139299.26</v>
      </c>
      <c r="E65">
        <v>64.2</v>
      </c>
      <c r="F65" t="s">
        <v>635</v>
      </c>
      <c r="G65" t="s">
        <v>635</v>
      </c>
      <c r="H65" t="s">
        <v>635</v>
      </c>
      <c r="I65" s="2">
        <v>94071.57</v>
      </c>
      <c r="J65" t="s">
        <v>635</v>
      </c>
      <c r="K65">
        <v>-524.02</v>
      </c>
      <c r="L65" s="2">
        <v>18635.96</v>
      </c>
      <c r="M65" s="2">
        <v>420662.3</v>
      </c>
      <c r="N65" s="2">
        <v>311571.06</v>
      </c>
      <c r="O65" s="2">
        <v>315024.62</v>
      </c>
      <c r="P65" s="2">
        <v>417208.74</v>
      </c>
      <c r="T65" t="s">
        <v>615</v>
      </c>
      <c r="U65" s="2">
        <v>13</v>
      </c>
      <c r="V65" s="2" t="s">
        <v>700</v>
      </c>
      <c r="W65" s="2">
        <v>997429.05</v>
      </c>
      <c r="X65" s="2">
        <v>198624.89</v>
      </c>
      <c r="Y65" s="2" t="s">
        <v>635</v>
      </c>
      <c r="Z65" s="2" t="s">
        <v>635</v>
      </c>
      <c r="AA65" s="2" t="s">
        <v>635</v>
      </c>
      <c r="AB65" s="2" t="s">
        <v>635</v>
      </c>
      <c r="AC65" s="2">
        <v>297149.62</v>
      </c>
      <c r="AD65" s="2" t="s">
        <v>635</v>
      </c>
      <c r="AE65" s="2" t="s">
        <v>635</v>
      </c>
      <c r="AF65" s="2">
        <v>53886.29</v>
      </c>
      <c r="AG65" s="2">
        <v>555540.83</v>
      </c>
      <c r="AH65" s="2">
        <v>556288.99</v>
      </c>
      <c r="AI65" s="2">
        <v>599368.81</v>
      </c>
      <c r="AJ65" s="2">
        <v>512461.01</v>
      </c>
    </row>
    <row r="66" spans="1:36" ht="24.666666666666668" customHeight="1">
      <c r="A66">
        <v>49</v>
      </c>
      <c r="B66" t="s">
        <v>691</v>
      </c>
      <c r="C66" s="2">
        <v>265186.63</v>
      </c>
      <c r="D66" s="2">
        <v>26596.17</v>
      </c>
      <c r="E66" s="2">
        <v>85182.88</v>
      </c>
      <c r="F66" t="s">
        <v>635</v>
      </c>
      <c r="G66" t="s">
        <v>635</v>
      </c>
      <c r="H66" s="2">
        <v>5887.8</v>
      </c>
      <c r="I66" s="2">
        <v>232404.94</v>
      </c>
      <c r="J66" t="s">
        <v>635</v>
      </c>
      <c r="K66" t="s">
        <v>635</v>
      </c>
      <c r="L66" s="2">
        <v>30404.48</v>
      </c>
      <c r="M66" s="2">
        <v>115885.09</v>
      </c>
      <c r="N66" s="2">
        <v>63858.13</v>
      </c>
      <c r="O66" s="2">
        <v>55279.64</v>
      </c>
      <c r="P66" s="2">
        <v>124463.58</v>
      </c>
      <c r="T66" t="s">
        <v>615</v>
      </c>
      <c r="U66" s="2">
        <v>14</v>
      </c>
      <c r="V66" s="2" t="s">
        <v>501</v>
      </c>
      <c r="W66" s="2">
        <v>2376423.47</v>
      </c>
      <c r="X66" s="2">
        <v>133864.16</v>
      </c>
      <c r="Y66" s="2">
        <v>149880.58</v>
      </c>
      <c r="Z66" s="2" t="s">
        <v>635</v>
      </c>
      <c r="AA66" s="2" t="s">
        <v>635</v>
      </c>
      <c r="AB66" s="2">
        <v>34508.59</v>
      </c>
      <c r="AC66" s="2">
        <v>759019.81</v>
      </c>
      <c r="AD66" s="2">
        <v>217380.33</v>
      </c>
      <c r="AE66" s="2">
        <v>663586.89</v>
      </c>
      <c r="AF66" s="2">
        <v>150253.58</v>
      </c>
      <c r="AG66" s="2">
        <v>868197.85</v>
      </c>
      <c r="AH66" s="2">
        <v>462156.5</v>
      </c>
      <c r="AI66" s="2">
        <v>488515.29</v>
      </c>
      <c r="AJ66" s="2">
        <v>841839.06</v>
      </c>
    </row>
    <row r="67" spans="1:36" ht="24.666666666666668" customHeight="1">
      <c r="A67">
        <v>50</v>
      </c>
      <c r="B67" t="s">
        <v>692</v>
      </c>
      <c r="C67" s="2">
        <v>656133.99</v>
      </c>
      <c r="D67" s="2">
        <v>95890.36</v>
      </c>
      <c r="E67" s="2">
        <v>100701.01</v>
      </c>
      <c r="F67" t="s">
        <v>635</v>
      </c>
      <c r="G67" t="s">
        <v>635</v>
      </c>
      <c r="H67" t="s">
        <v>635</v>
      </c>
      <c r="I67" s="2">
        <v>481533.94</v>
      </c>
      <c r="J67" s="2">
        <v>1412.53</v>
      </c>
      <c r="K67" t="s">
        <v>635</v>
      </c>
      <c r="L67" s="2">
        <v>91665.09</v>
      </c>
      <c r="M67" s="2">
        <v>269663.25</v>
      </c>
      <c r="N67" s="2">
        <v>143437.78</v>
      </c>
      <c r="O67" s="2">
        <v>143021.21</v>
      </c>
      <c r="P67" s="2">
        <v>270079.82</v>
      </c>
      <c r="T67" t="s">
        <v>615</v>
      </c>
      <c r="U67" s="2">
        <v>15</v>
      </c>
      <c r="V67" s="2" t="s">
        <v>499</v>
      </c>
      <c r="W67" s="2">
        <v>2900907.03</v>
      </c>
      <c r="X67" s="2">
        <v>430984.23</v>
      </c>
      <c r="Y67" s="2">
        <v>51763.14</v>
      </c>
      <c r="Z67" s="2" t="s">
        <v>635</v>
      </c>
      <c r="AA67" s="2" t="s">
        <v>635</v>
      </c>
      <c r="AB67" s="2">
        <v>10108.17</v>
      </c>
      <c r="AC67" s="2">
        <v>733185.3</v>
      </c>
      <c r="AD67" s="2">
        <v>601803.53</v>
      </c>
      <c r="AE67" s="2">
        <v>185906.37</v>
      </c>
      <c r="AF67" s="2">
        <v>235428.2</v>
      </c>
      <c r="AG67" s="2">
        <v>1226110.77</v>
      </c>
      <c r="AH67" s="2">
        <v>726882.78</v>
      </c>
      <c r="AI67" s="2">
        <v>749227.08</v>
      </c>
      <c r="AJ67" s="2">
        <v>1203766.47</v>
      </c>
    </row>
    <row r="68" spans="1:36" ht="24.666666666666668" customHeight="1">
      <c r="B68" t="s">
        <v>701</v>
      </c>
      <c r="C68" s="2">
        <v>75731732.72</v>
      </c>
      <c r="D68" s="2">
        <v>7963221.62</v>
      </c>
      <c r="E68" s="2">
        <v>3378891.51</v>
      </c>
      <c r="F68" s="2">
        <v>17041.94</v>
      </c>
      <c r="G68" s="2">
        <v>11389.34</v>
      </c>
      <c r="H68" s="2">
        <v>161351.21</v>
      </c>
      <c r="I68" s="2">
        <v>20055805.22</v>
      </c>
      <c r="J68" s="2">
        <v>5307965.05</v>
      </c>
      <c r="K68" s="2">
        <v>2292837.9</v>
      </c>
      <c r="L68" s="2">
        <v>3602615.21</v>
      </c>
      <c r="M68" s="2">
        <v>46960489.71</v>
      </c>
      <c r="N68" s="2">
        <v>21317950.09</v>
      </c>
      <c r="O68" s="2">
        <v>41129787.93</v>
      </c>
      <c r="P68" s="2">
        <v>27148651.87</v>
      </c>
      <c r="T68" t="s">
        <v>615</v>
      </c>
      <c r="U68" s="2">
        <v>16</v>
      </c>
      <c r="V68" s="2" t="s">
        <v>702</v>
      </c>
      <c r="W68" s="2">
        <v>917878.73</v>
      </c>
      <c r="X68" s="2">
        <v>101712.54</v>
      </c>
      <c r="Y68" s="2" t="s">
        <v>635</v>
      </c>
      <c r="Z68" s="2" t="s">
        <v>635</v>
      </c>
      <c r="AA68" s="2" t="s">
        <v>635</v>
      </c>
      <c r="AB68" s="2" t="s">
        <v>635</v>
      </c>
      <c r="AC68" s="2">
        <v>202347.13</v>
      </c>
      <c r="AD68" s="2">
        <v>186404.43</v>
      </c>
      <c r="AE68" s="2">
        <v>172132.32</v>
      </c>
      <c r="AF68" s="2">
        <v>39545.18</v>
      </c>
      <c r="AG68" s="2">
        <v>294827.48</v>
      </c>
      <c r="AH68" s="2">
        <v>184433.81</v>
      </c>
      <c r="AI68" s="2">
        <v>218722.04</v>
      </c>
      <c r="AJ68" s="2">
        <v>260539.25</v>
      </c>
    </row>
    <row r="69" spans="1:36" ht="24.666666666666668" customHeight="1">
      <c r="T69" t="s">
        <v>615</v>
      </c>
      <c r="U69" s="2">
        <v>17</v>
      </c>
      <c r="V69" s="2" t="s">
        <v>703</v>
      </c>
      <c r="W69" s="2">
        <v>403621</v>
      </c>
      <c r="X69" s="2">
        <v>22742</v>
      </c>
      <c r="Y69" s="2">
        <v>98285</v>
      </c>
      <c r="Z69" s="2" t="s">
        <v>635</v>
      </c>
      <c r="AA69" s="2">
        <v>9</v>
      </c>
      <c r="AB69" s="2">
        <v>17827</v>
      </c>
      <c r="AC69" s="2">
        <v>181178</v>
      </c>
      <c r="AD69" s="2">
        <v>192361</v>
      </c>
      <c r="AE69" s="2">
        <v>81891</v>
      </c>
      <c r="AF69" s="2">
        <v>88771</v>
      </c>
      <c r="AG69" s="2">
        <v>94687</v>
      </c>
      <c r="AH69" s="2">
        <v>61366</v>
      </c>
      <c r="AI69" s="2">
        <v>60579</v>
      </c>
      <c r="AJ69" s="2">
        <v>95474</v>
      </c>
    </row>
    <row r="70" spans="1:36" ht="24.666666666666668" customHeight="1">
      <c r="B70" t="s">
        <v>704</v>
      </c>
      <c r="T70" t="s">
        <v>615</v>
      </c>
      <c r="U70" s="2">
        <v>18</v>
      </c>
      <c r="V70" s="2" t="s">
        <v>323</v>
      </c>
      <c r="W70" s="2">
        <v>2118962.48</v>
      </c>
      <c r="X70" s="2">
        <v>364934.31</v>
      </c>
      <c r="Y70" s="2">
        <v>176907.13</v>
      </c>
      <c r="Z70" s="2">
        <v>2101.83</v>
      </c>
      <c r="AA70" s="2" t="s">
        <v>635</v>
      </c>
      <c r="AB70" s="2">
        <v>33751.69</v>
      </c>
      <c r="AC70" s="2">
        <v>469513.2</v>
      </c>
      <c r="AD70" s="2">
        <v>526683.81</v>
      </c>
      <c r="AE70" s="2">
        <v>198381.4</v>
      </c>
      <c r="AF70" s="2">
        <v>282202.58</v>
      </c>
      <c r="AG70" s="2">
        <v>986909.61</v>
      </c>
      <c r="AH70" s="2">
        <v>757888.35</v>
      </c>
      <c r="AI70" s="2">
        <v>658515.78</v>
      </c>
      <c r="AJ70" s="2">
        <v>1086282.19</v>
      </c>
    </row>
    <row r="71" spans="1:36" ht="24.666666666666668" customHeight="1">
      <c r="B71" t="s">
        <v>705</v>
      </c>
      <c r="T71" t="s">
        <v>615</v>
      </c>
      <c r="U71" s="2">
        <v>19</v>
      </c>
      <c r="V71" s="2" t="s">
        <v>551</v>
      </c>
      <c r="W71" s="2">
        <v>850415.24</v>
      </c>
      <c r="X71" s="2">
        <v>130072.95</v>
      </c>
      <c r="Y71" s="2">
        <v>207.79</v>
      </c>
      <c r="Z71" s="2" t="s">
        <v>635</v>
      </c>
      <c r="AA71" s="2" t="s">
        <v>635</v>
      </c>
      <c r="AB71" s="2" t="s">
        <v>635</v>
      </c>
      <c r="AC71" s="2">
        <v>66158.4</v>
      </c>
      <c r="AD71" s="2">
        <v>6401.74</v>
      </c>
      <c r="AE71" s="2">
        <v>5575.88</v>
      </c>
      <c r="AF71" s="2">
        <v>22628.55</v>
      </c>
      <c r="AG71" s="2">
        <v>665042.61</v>
      </c>
      <c r="AH71" s="2">
        <v>655074.54</v>
      </c>
      <c r="AI71" s="2">
        <v>663455.6</v>
      </c>
      <c r="AJ71" s="2">
        <v>656661.55</v>
      </c>
    </row>
    <row r="72" spans="1:36" ht="24.666666666666668" customHeight="1">
      <c r="T72" t="s">
        <v>615</v>
      </c>
      <c r="U72" s="2">
        <v>20</v>
      </c>
      <c r="V72" s="2" t="s">
        <v>706</v>
      </c>
      <c r="W72" s="2">
        <v>872043.25</v>
      </c>
      <c r="X72" s="2">
        <v>63307.89</v>
      </c>
      <c r="Y72" s="2">
        <v>1692.24</v>
      </c>
      <c r="Z72" s="2" t="s">
        <v>635</v>
      </c>
      <c r="AA72" s="2" t="s">
        <v>635</v>
      </c>
      <c r="AB72" s="2" t="s">
        <v>635</v>
      </c>
      <c r="AC72" s="2">
        <v>663019.48</v>
      </c>
      <c r="AD72" s="2">
        <v>14969.2</v>
      </c>
      <c r="AE72" s="2">
        <v>13221.17</v>
      </c>
      <c r="AF72" s="2">
        <v>76407.01</v>
      </c>
      <c r="AG72" s="2">
        <v>195624.77</v>
      </c>
      <c r="AH72" s="2">
        <v>125798.21</v>
      </c>
      <c r="AI72" s="2">
        <v>111983.2</v>
      </c>
      <c r="AJ72" s="2">
        <v>209439.78</v>
      </c>
    </row>
    <row r="73" spans="1:36" ht="24.666666666666668" customHeight="1">
      <c r="A73">
        <v>1</v>
      </c>
      <c r="B73" t="s">
        <v>319</v>
      </c>
      <c r="C73" s="2">
        <v>3373933.19</v>
      </c>
      <c r="D73" s="2">
        <v>790900.11</v>
      </c>
      <c r="E73" s="2">
        <v>8175.84</v>
      </c>
      <c r="F73" t="s">
        <v>635</v>
      </c>
      <c r="G73" t="s">
        <v>635</v>
      </c>
      <c r="H73" t="s">
        <v>635</v>
      </c>
      <c r="I73" s="2">
        <v>289908.7</v>
      </c>
      <c r="J73" s="2">
        <v>5849.82</v>
      </c>
      <c r="K73" s="2">
        <v>493070</v>
      </c>
      <c r="L73" s="2">
        <v>181118.46</v>
      </c>
      <c r="M73" s="2">
        <v>1983498.86</v>
      </c>
      <c r="N73" s="2">
        <v>1051206.45</v>
      </c>
      <c r="O73" s="2">
        <v>1209444.32</v>
      </c>
      <c r="P73" s="2">
        <v>1825260.98</v>
      </c>
      <c r="T73" t="s">
        <v>615</v>
      </c>
      <c r="U73" s="2">
        <v>21</v>
      </c>
      <c r="V73" s="2" t="s">
        <v>472</v>
      </c>
      <c r="W73" s="2">
        <v>3375068.26</v>
      </c>
      <c r="X73" s="2">
        <v>212702.58</v>
      </c>
      <c r="Y73" s="2">
        <v>2963.66</v>
      </c>
      <c r="Z73" s="2" t="s">
        <v>635</v>
      </c>
      <c r="AA73" s="2" t="s">
        <v>635</v>
      </c>
      <c r="AB73" s="2">
        <v>782.45</v>
      </c>
      <c r="AC73" s="2">
        <v>290898.24</v>
      </c>
      <c r="AD73" s="2">
        <v>311465.06</v>
      </c>
      <c r="AE73" s="2" t="s">
        <v>635</v>
      </c>
      <c r="AF73" s="2">
        <v>124796.54</v>
      </c>
      <c r="AG73" s="2">
        <v>2686980.13</v>
      </c>
      <c r="AH73" s="2">
        <v>454824.84</v>
      </c>
      <c r="AI73" s="2">
        <v>484485.49</v>
      </c>
      <c r="AJ73" s="2">
        <v>2657319.48</v>
      </c>
    </row>
    <row r="74" spans="1:36" ht="24.666666666666668" customHeight="1">
      <c r="A74">
        <v>2</v>
      </c>
      <c r="B74" t="s">
        <v>693</v>
      </c>
      <c r="C74" s="2">
        <v>1609704.95</v>
      </c>
      <c r="D74" s="2">
        <v>359073.56</v>
      </c>
      <c r="E74" t="s">
        <v>635</v>
      </c>
      <c r="F74" t="s">
        <v>635</v>
      </c>
      <c r="G74" t="s">
        <v>635</v>
      </c>
      <c r="H74" t="s">
        <v>635</v>
      </c>
      <c r="I74" s="2">
        <v>194470.68</v>
      </c>
      <c r="J74" t="s">
        <v>635</v>
      </c>
      <c r="K74" t="s">
        <v>635</v>
      </c>
      <c r="L74" s="2">
        <v>50302.31</v>
      </c>
      <c r="M74" s="2">
        <v>1106463.02</v>
      </c>
      <c r="N74" s="2">
        <v>384461.56</v>
      </c>
      <c r="O74" s="2">
        <v>267254.03</v>
      </c>
      <c r="P74" s="2">
        <v>1223670.54</v>
      </c>
      <c r="T74" t="s">
        <v>615</v>
      </c>
      <c r="U74" s="2">
        <v>1</v>
      </c>
      <c r="V74" s="2" t="s">
        <v>707</v>
      </c>
      <c r="W74" s="2" t="s">
        <v>635</v>
      </c>
      <c r="X74" s="2" t="s">
        <v>635</v>
      </c>
      <c r="Y74" s="2">
        <v>6312501.51</v>
      </c>
      <c r="Z74" s="2">
        <v>18036.69</v>
      </c>
      <c r="AA74" s="2">
        <v>18800.27</v>
      </c>
      <c r="AB74" s="2">
        <v>1274605.04</v>
      </c>
      <c r="AC74" s="2">
        <v>2105348.67</v>
      </c>
      <c r="AD74" s="2">
        <v>691262.81</v>
      </c>
      <c r="AE74" s="2">
        <v>130282.45</v>
      </c>
      <c r="AF74" s="2">
        <v>432986.61</v>
      </c>
      <c r="AG74" s="2">
        <v>2580826.1</v>
      </c>
      <c r="AH74" s="2">
        <v>1192222.48</v>
      </c>
      <c r="AI74" s="2">
        <v>1218133.83</v>
      </c>
      <c r="AJ74" s="2">
        <v>2554914.75</v>
      </c>
    </row>
    <row r="75" spans="1:36" ht="24.666666666666668" customHeight="1">
      <c r="A75">
        <v>3</v>
      </c>
      <c r="B75" t="s">
        <v>321</v>
      </c>
      <c r="C75" s="2">
        <v>2601642.87</v>
      </c>
      <c r="D75" s="2">
        <v>221644.91</v>
      </c>
      <c r="E75" s="2">
        <v>43060.4</v>
      </c>
      <c r="F75" s="2">
        <v>8545.58</v>
      </c>
      <c r="G75" t="s">
        <v>635</v>
      </c>
      <c r="H75" s="2">
        <v>1270.46</v>
      </c>
      <c r="I75" s="2">
        <v>753602.22</v>
      </c>
      <c r="J75" s="2">
        <v>572567.56</v>
      </c>
      <c r="K75" s="2">
        <v>452915.75</v>
      </c>
      <c r="L75" s="2">
        <v>302395.12</v>
      </c>
      <c r="M75" s="2">
        <v>953643.06</v>
      </c>
      <c r="N75" s="2">
        <v>325007.39</v>
      </c>
      <c r="O75" s="2">
        <v>358465.7</v>
      </c>
      <c r="P75" s="2">
        <v>920184.75</v>
      </c>
      <c r="T75" t="s">
        <v>615</v>
      </c>
      <c r="U75" s="2">
        <v>2</v>
      </c>
      <c r="V75" s="2" t="s">
        <v>708</v>
      </c>
      <c r="W75" s="2" t="s">
        <v>635</v>
      </c>
      <c r="X75" s="2" t="s">
        <v>635</v>
      </c>
      <c r="Y75" s="2">
        <v>3468679.99</v>
      </c>
      <c r="Z75" s="2">
        <v>41718.6</v>
      </c>
      <c r="AA75" s="2">
        <v>-43.95</v>
      </c>
      <c r="AB75" s="2">
        <v>498565.75</v>
      </c>
      <c r="AC75" s="2">
        <v>15028.68</v>
      </c>
      <c r="AD75" s="2">
        <v>1017365.11</v>
      </c>
      <c r="AE75" s="2">
        <v>354206.22</v>
      </c>
      <c r="AF75" s="2">
        <v>113290.83</v>
      </c>
      <c r="AG75" s="2">
        <v>1738479.7</v>
      </c>
      <c r="AH75" s="2">
        <v>448158.08</v>
      </c>
      <c r="AI75" s="2">
        <v>440643.85</v>
      </c>
      <c r="AJ75" s="2">
        <v>1745993.93</v>
      </c>
    </row>
    <row r="76" spans="1:36" ht="24.666666666666668" customHeight="1">
      <c r="A76">
        <v>4</v>
      </c>
      <c r="B76" t="s">
        <v>694</v>
      </c>
      <c r="C76" s="2">
        <v>5082737.1</v>
      </c>
      <c r="D76" s="2">
        <v>357789.14</v>
      </c>
      <c r="E76" s="2">
        <v>97635.7</v>
      </c>
      <c r="F76" s="2">
        <v>29300.21</v>
      </c>
      <c r="G76" s="2">
        <v>464525.42</v>
      </c>
      <c r="H76" s="2">
        <v>143247.13</v>
      </c>
      <c r="I76" s="2">
        <v>2561210.55</v>
      </c>
      <c r="J76" s="2">
        <v>789669.44</v>
      </c>
      <c r="K76" s="2">
        <v>1141795.04</v>
      </c>
      <c r="L76" s="2">
        <v>601935.35</v>
      </c>
      <c r="M76" s="2">
        <v>1282422.48</v>
      </c>
      <c r="N76" s="2">
        <v>483471.06</v>
      </c>
      <c r="O76" s="2">
        <v>521067.97</v>
      </c>
      <c r="P76" s="2">
        <v>1244825.56</v>
      </c>
      <c r="T76" t="s">
        <v>615</v>
      </c>
      <c r="U76" s="2">
        <v>3</v>
      </c>
      <c r="V76" s="2" t="s">
        <v>709</v>
      </c>
      <c r="W76" s="2" t="s">
        <v>635</v>
      </c>
      <c r="X76" s="2" t="s">
        <v>635</v>
      </c>
      <c r="Y76" s="2">
        <v>4391776.99</v>
      </c>
      <c r="Z76" s="2">
        <v>72818.94</v>
      </c>
      <c r="AA76" s="2" t="s">
        <v>635</v>
      </c>
      <c r="AB76" s="2">
        <v>781992.53</v>
      </c>
      <c r="AC76" s="2">
        <v>467265.37</v>
      </c>
      <c r="AD76" s="2">
        <v>342718.76</v>
      </c>
      <c r="AE76" s="2" t="s">
        <v>635</v>
      </c>
      <c r="AF76" s="2">
        <v>19385.43</v>
      </c>
      <c r="AG76" s="2">
        <v>2892004.7</v>
      </c>
      <c r="AH76" s="2">
        <v>2262766.32</v>
      </c>
      <c r="AI76" s="2">
        <v>2896842.24</v>
      </c>
      <c r="AJ76" s="2">
        <v>2257928.78</v>
      </c>
    </row>
    <row r="77" spans="1:36" ht="24.666666666666668" customHeight="1">
      <c r="A77">
        <v>5</v>
      </c>
      <c r="B77" t="s">
        <v>695</v>
      </c>
      <c r="C77" s="2">
        <v>647310.03</v>
      </c>
      <c r="D77" s="2">
        <v>102662.26</v>
      </c>
      <c r="E77" t="s">
        <v>635</v>
      </c>
      <c r="F77" t="s">
        <v>635</v>
      </c>
      <c r="G77" t="s">
        <v>635</v>
      </c>
      <c r="H77" t="s">
        <v>635</v>
      </c>
      <c r="I77" s="2">
        <v>184533.97</v>
      </c>
      <c r="J77" s="2">
        <v>4921.11</v>
      </c>
      <c r="K77" s="2">
        <v>52316.45</v>
      </c>
      <c r="L77" s="2">
        <v>47211.97</v>
      </c>
      <c r="M77" s="2">
        <v>350088.21</v>
      </c>
      <c r="N77" s="2">
        <v>199969.6</v>
      </c>
      <c r="O77" s="2">
        <v>214205.24</v>
      </c>
      <c r="P77" s="2">
        <v>335852.57</v>
      </c>
      <c r="T77" t="s">
        <v>615</v>
      </c>
      <c r="U77" s="2">
        <v>4</v>
      </c>
      <c r="V77" s="2" t="s">
        <v>710</v>
      </c>
      <c r="W77" s="2" t="s">
        <v>635</v>
      </c>
      <c r="X77" s="2" t="s">
        <v>635</v>
      </c>
      <c r="Y77" s="2">
        <v>2933989.53</v>
      </c>
      <c r="Z77" s="2">
        <v>356887.33</v>
      </c>
      <c r="AA77" s="2">
        <v>6609.86</v>
      </c>
      <c r="AB77" s="2">
        <v>815487.99</v>
      </c>
      <c r="AC77" s="2">
        <v>466613.58</v>
      </c>
      <c r="AD77" s="2">
        <v>296863.23</v>
      </c>
      <c r="AE77" s="2">
        <v>14097.56</v>
      </c>
      <c r="AF77" s="2">
        <v>45950.15</v>
      </c>
      <c r="AG77" s="2">
        <v>1750374.5</v>
      </c>
      <c r="AH77" s="2">
        <v>784903.72</v>
      </c>
      <c r="AI77" s="2">
        <v>895834.95</v>
      </c>
      <c r="AJ77" s="2">
        <v>1639443.27</v>
      </c>
    </row>
    <row r="78" spans="1:36" ht="24.666666666666668" customHeight="1">
      <c r="A78">
        <v>6</v>
      </c>
      <c r="B78" t="s">
        <v>696</v>
      </c>
      <c r="C78" s="2">
        <v>1242929.42</v>
      </c>
      <c r="D78" s="2">
        <v>316436.96</v>
      </c>
      <c r="E78" s="2">
        <v>87914.38</v>
      </c>
      <c r="F78" s="2">
        <v>15373.61</v>
      </c>
      <c r="G78" t="s">
        <v>635</v>
      </c>
      <c r="H78" s="2">
        <v>11628.33</v>
      </c>
      <c r="I78" s="2">
        <v>24123.12</v>
      </c>
      <c r="J78" s="2">
        <v>27505.21</v>
      </c>
      <c r="K78" s="2">
        <v>219650.29</v>
      </c>
      <c r="L78" s="2">
        <v>19832.4</v>
      </c>
      <c r="M78" s="2">
        <v>766705.89</v>
      </c>
      <c r="N78" s="2">
        <v>197087.36</v>
      </c>
      <c r="O78" s="2">
        <v>215199.66</v>
      </c>
      <c r="P78" s="2">
        <v>748593.6</v>
      </c>
      <c r="T78" t="s">
        <v>615</v>
      </c>
      <c r="U78" s="2">
        <v>5</v>
      </c>
      <c r="V78" s="2" t="s">
        <v>711</v>
      </c>
      <c r="W78" s="2" t="s">
        <v>635</v>
      </c>
      <c r="X78" s="2" t="s">
        <v>635</v>
      </c>
      <c r="Y78" s="2">
        <v>407249.15</v>
      </c>
      <c r="Z78" s="2" t="s">
        <v>635</v>
      </c>
      <c r="AA78" s="2" t="s">
        <v>635</v>
      </c>
      <c r="AB78" s="2">
        <v>141716.14</v>
      </c>
      <c r="AC78" s="2">
        <v>91291.22</v>
      </c>
      <c r="AD78" s="2">
        <v>37355.84</v>
      </c>
      <c r="AE78" s="2">
        <v>6836.61</v>
      </c>
      <c r="AF78" s="2" t="s">
        <v>635</v>
      </c>
      <c r="AG78" s="2">
        <v>130049.35</v>
      </c>
      <c r="AH78" s="2">
        <v>115124.51</v>
      </c>
      <c r="AI78" s="2">
        <v>115516.39</v>
      </c>
      <c r="AJ78" s="2">
        <v>129657.46</v>
      </c>
    </row>
    <row r="79" spans="1:36" ht="24.666666666666668" customHeight="1">
      <c r="A79">
        <v>7</v>
      </c>
      <c r="B79" t="s">
        <v>554</v>
      </c>
      <c r="C79" s="2">
        <v>770363.1</v>
      </c>
      <c r="D79" s="2">
        <v>90480.32</v>
      </c>
      <c r="E79" s="2">
        <v>20454.73</v>
      </c>
      <c r="F79" t="s">
        <v>635</v>
      </c>
      <c r="G79" t="s">
        <v>635</v>
      </c>
      <c r="H79" s="2">
        <v>4441.14</v>
      </c>
      <c r="I79" s="2">
        <v>263642.05</v>
      </c>
      <c r="J79" s="2">
        <v>6095.15</v>
      </c>
      <c r="K79" s="2">
        <v>178448.21</v>
      </c>
      <c r="L79" s="2">
        <v>59681.67</v>
      </c>
      <c r="M79" s="2">
        <v>307392.63</v>
      </c>
      <c r="N79" s="2">
        <v>126688.73</v>
      </c>
      <c r="O79" s="2">
        <v>131294.67</v>
      </c>
      <c r="P79" s="2">
        <v>302786.7</v>
      </c>
      <c r="T79" t="s">
        <v>615</v>
      </c>
      <c r="U79" s="2">
        <v>6</v>
      </c>
      <c r="V79" s="2" t="s">
        <v>712</v>
      </c>
      <c r="W79" s="2" t="s">
        <v>635</v>
      </c>
      <c r="X79" s="2" t="s">
        <v>635</v>
      </c>
      <c r="Y79" s="2">
        <v>4298446.94</v>
      </c>
      <c r="Z79" s="2">
        <v>2427814.29</v>
      </c>
      <c r="AA79" s="2" t="s">
        <v>635</v>
      </c>
      <c r="AB79" s="2">
        <v>433017.59</v>
      </c>
      <c r="AC79" s="2">
        <v>775198.86</v>
      </c>
      <c r="AD79" s="2">
        <v>4975512.12</v>
      </c>
      <c r="AE79" s="2" t="s">
        <v>635</v>
      </c>
      <c r="AF79" s="2">
        <v>30027.84</v>
      </c>
      <c r="AG79" s="2">
        <v>572560.49</v>
      </c>
      <c r="AH79" s="2">
        <v>117095.15</v>
      </c>
      <c r="AI79" s="2">
        <v>136156.06</v>
      </c>
      <c r="AJ79" s="2">
        <v>553499.58</v>
      </c>
    </row>
    <row r="80" spans="1:36" ht="24.666666666666668" customHeight="1">
      <c r="A80">
        <v>8</v>
      </c>
      <c r="B80" t="s">
        <v>556</v>
      </c>
      <c r="C80" s="2">
        <v>599917.7</v>
      </c>
      <c r="D80" s="2">
        <v>51368.27</v>
      </c>
      <c r="E80" s="2">
        <v>60928.29</v>
      </c>
      <c r="F80" s="2">
        <v>2026.53</v>
      </c>
      <c r="G80" t="s">
        <v>635</v>
      </c>
      <c r="H80" s="2">
        <v>4332.75</v>
      </c>
      <c r="I80" s="2">
        <v>4765.9</v>
      </c>
      <c r="J80" t="s">
        <v>635</v>
      </c>
      <c r="K80" s="2">
        <v>551214.29</v>
      </c>
      <c r="L80" s="2">
        <v>172546.58</v>
      </c>
      <c r="M80" s="2">
        <v>223737.89</v>
      </c>
      <c r="N80" s="2">
        <v>46851.42</v>
      </c>
      <c r="O80" s="2">
        <v>50802.47</v>
      </c>
      <c r="P80" s="2">
        <v>219786.84</v>
      </c>
      <c r="T80" t="s">
        <v>615</v>
      </c>
      <c r="U80" s="2">
        <v>7</v>
      </c>
      <c r="V80" s="2" t="s">
        <v>713</v>
      </c>
      <c r="W80" s="2" t="s">
        <v>635</v>
      </c>
      <c r="X80" s="2" t="s">
        <v>635</v>
      </c>
      <c r="Y80" s="2">
        <v>1186382</v>
      </c>
      <c r="Z80" s="2" t="s">
        <v>635</v>
      </c>
      <c r="AA80" s="2" t="s">
        <v>635</v>
      </c>
      <c r="AB80" s="2">
        <v>236946.9</v>
      </c>
      <c r="AC80" s="2">
        <v>383236.79</v>
      </c>
      <c r="AD80" s="2" t="s">
        <v>635</v>
      </c>
      <c r="AE80" s="2" t="s">
        <v>635</v>
      </c>
      <c r="AF80" s="2">
        <v>35001.69</v>
      </c>
      <c r="AG80" s="2">
        <v>601200</v>
      </c>
      <c r="AH80" s="2">
        <v>71412.05</v>
      </c>
      <c r="AI80" s="2">
        <v>199523.61</v>
      </c>
      <c r="AJ80" s="2">
        <v>473088.44</v>
      </c>
    </row>
    <row r="81" spans="1:36" ht="24.666666666666668" customHeight="1">
      <c r="A81">
        <v>9</v>
      </c>
      <c r="B81" t="s">
        <v>697</v>
      </c>
      <c r="C81" s="2">
        <v>880432.04</v>
      </c>
      <c r="D81" s="2">
        <v>33741.46</v>
      </c>
      <c r="E81" t="s">
        <v>635</v>
      </c>
      <c r="F81" t="s">
        <v>635</v>
      </c>
      <c r="G81" t="s">
        <v>635</v>
      </c>
      <c r="H81" t="s">
        <v>635</v>
      </c>
      <c r="I81" s="2">
        <v>808327.21</v>
      </c>
      <c r="J81" t="s">
        <v>635</v>
      </c>
      <c r="K81" t="s">
        <v>635</v>
      </c>
      <c r="L81" s="2">
        <v>180491.3</v>
      </c>
      <c r="M81" s="2">
        <v>218854.67</v>
      </c>
      <c r="N81" s="2">
        <v>54362.92</v>
      </c>
      <c r="O81" s="2">
        <v>44184.37</v>
      </c>
      <c r="P81" s="2">
        <v>229033.22</v>
      </c>
      <c r="T81" t="s">
        <v>615</v>
      </c>
      <c r="U81" s="2">
        <v>8</v>
      </c>
      <c r="V81" s="2" t="s">
        <v>714</v>
      </c>
      <c r="W81" s="2" t="s">
        <v>635</v>
      </c>
      <c r="X81" s="2" t="s">
        <v>635</v>
      </c>
      <c r="Y81" s="2" t="s">
        <v>635</v>
      </c>
      <c r="Z81" s="2" t="s">
        <v>635</v>
      </c>
      <c r="AA81" s="2" t="s">
        <v>635</v>
      </c>
      <c r="AB81" s="2" t="s">
        <v>635</v>
      </c>
      <c r="AC81" s="2" t="s">
        <v>635</v>
      </c>
      <c r="AD81" s="2" t="s">
        <v>635</v>
      </c>
      <c r="AE81" s="2" t="s">
        <v>635</v>
      </c>
      <c r="AF81" s="2" t="s">
        <v>635</v>
      </c>
      <c r="AG81" s="2" t="s">
        <v>635</v>
      </c>
      <c r="AH81" s="2" t="s">
        <v>635</v>
      </c>
      <c r="AI81" s="2" t="s">
        <v>635</v>
      </c>
      <c r="AJ81" s="2" t="s">
        <v>635</v>
      </c>
    </row>
    <row r="82" spans="1:36" ht="24.666666666666668" customHeight="1">
      <c r="A82">
        <v>10</v>
      </c>
      <c r="B82" t="s">
        <v>561</v>
      </c>
      <c r="C82" s="2">
        <v>197262.68</v>
      </c>
      <c r="D82" s="2">
        <v>25795.85</v>
      </c>
      <c r="E82" s="2">
        <v>32709.64</v>
      </c>
      <c r="F82" t="s">
        <v>635</v>
      </c>
      <c r="G82" t="s">
        <v>635</v>
      </c>
      <c r="H82" s="2">
        <v>5544.18</v>
      </c>
      <c r="I82" s="2">
        <v>150028.25</v>
      </c>
      <c r="J82" s="2">
        <v>15628.66</v>
      </c>
      <c r="K82" s="2">
        <v>25226.48</v>
      </c>
      <c r="L82" s="2">
        <v>46507.89</v>
      </c>
      <c r="M82" s="2">
        <v>54256.79</v>
      </c>
      <c r="N82" s="2">
        <v>21568.33</v>
      </c>
      <c r="O82" s="2">
        <v>31097.58</v>
      </c>
      <c r="P82" s="2">
        <v>44727.54</v>
      </c>
      <c r="T82" t="s">
        <v>615</v>
      </c>
      <c r="W82" s="2"/>
    </row>
    <row r="83" spans="1:36" ht="24.666666666666668" customHeight="1">
      <c r="A83">
        <v>11</v>
      </c>
      <c r="B83" t="s">
        <v>698</v>
      </c>
      <c r="C83" s="2">
        <v>866373.9</v>
      </c>
      <c r="D83" s="2">
        <v>100484.3</v>
      </c>
      <c r="E83">
        <v>-8.82</v>
      </c>
      <c r="F83" t="s">
        <v>635</v>
      </c>
      <c r="G83" t="s">
        <v>635</v>
      </c>
      <c r="H83">
        <v>6.72</v>
      </c>
      <c r="I83" s="2">
        <v>85457.26</v>
      </c>
      <c r="J83" s="2">
        <v>126365.94</v>
      </c>
      <c r="K83" t="s">
        <v>635</v>
      </c>
      <c r="L83" s="2">
        <v>40824.29</v>
      </c>
      <c r="M83" s="2">
        <v>594875.16</v>
      </c>
      <c r="N83" s="2">
        <v>107819.16</v>
      </c>
      <c r="O83" s="2">
        <v>133756.43</v>
      </c>
      <c r="P83" s="2">
        <v>568937.89</v>
      </c>
      <c r="T83" t="s">
        <v>615</v>
      </c>
      <c r="W83" s="2"/>
      <c r="AJ83" s="2"/>
    </row>
    <row r="84" spans="1:36" ht="24.666666666666668" customHeight="1">
      <c r="A84">
        <v>12</v>
      </c>
      <c r="B84" t="s">
        <v>699</v>
      </c>
      <c r="C84" s="2">
        <v>402199.23</v>
      </c>
      <c r="D84" s="2">
        <v>33181.55</v>
      </c>
      <c r="E84" s="2">
        <v>5687.69</v>
      </c>
      <c r="F84" t="s">
        <v>635</v>
      </c>
      <c r="G84" t="s">
        <v>635</v>
      </c>
      <c r="H84" s="2">
        <v>1221.04</v>
      </c>
      <c r="I84" s="2">
        <v>257542.35</v>
      </c>
      <c r="J84" t="s">
        <v>635</v>
      </c>
      <c r="K84" t="s">
        <v>635</v>
      </c>
      <c r="L84" s="2">
        <v>57758.28</v>
      </c>
      <c r="M84" s="2">
        <v>173700.26</v>
      </c>
      <c r="N84" s="2">
        <v>104764.02</v>
      </c>
      <c r="O84" s="2">
        <v>144168.69</v>
      </c>
      <c r="P84" s="2">
        <v>134295.58</v>
      </c>
      <c r="T84" t="s">
        <v>615</v>
      </c>
      <c r="W84" s="2"/>
    </row>
    <row r="85" spans="1:36" ht="24.666666666666668" customHeight="1">
      <c r="A85">
        <v>13</v>
      </c>
      <c r="B85" t="s">
        <v>700</v>
      </c>
      <c r="C85" s="2">
        <v>997429.05</v>
      </c>
      <c r="D85" s="2">
        <v>198624.89</v>
      </c>
      <c r="E85" t="s">
        <v>635</v>
      </c>
      <c r="F85" t="s">
        <v>635</v>
      </c>
      <c r="G85" t="s">
        <v>635</v>
      </c>
      <c r="H85" t="s">
        <v>635</v>
      </c>
      <c r="I85" s="2">
        <v>297149.62</v>
      </c>
      <c r="J85" t="s">
        <v>635</v>
      </c>
      <c r="K85" t="s">
        <v>635</v>
      </c>
      <c r="L85" s="2">
        <v>53886.29</v>
      </c>
      <c r="M85" s="2">
        <v>555540.83</v>
      </c>
      <c r="N85" s="2">
        <v>556288.99</v>
      </c>
      <c r="O85" s="2">
        <v>599368.81</v>
      </c>
      <c r="P85" s="2">
        <v>512461.01</v>
      </c>
      <c r="T85" t="s">
        <v>615</v>
      </c>
      <c r="W85" s="2"/>
    </row>
    <row r="86" spans="1:36" ht="24.666666666666668" customHeight="1">
      <c r="A86">
        <v>14</v>
      </c>
      <c r="B86" t="s">
        <v>501</v>
      </c>
      <c r="C86" s="2">
        <v>2376423.47</v>
      </c>
      <c r="D86" s="2">
        <v>133864.16</v>
      </c>
      <c r="E86" s="2">
        <v>149880.58</v>
      </c>
      <c r="F86" t="s">
        <v>635</v>
      </c>
      <c r="G86" t="s">
        <v>635</v>
      </c>
      <c r="H86" s="2">
        <v>34508.59</v>
      </c>
      <c r="I86" s="2">
        <v>759019.81</v>
      </c>
      <c r="J86" s="2">
        <v>217380.33</v>
      </c>
      <c r="K86" s="2">
        <v>663586.89</v>
      </c>
      <c r="L86" s="2">
        <v>150253.58</v>
      </c>
      <c r="M86" s="2">
        <v>868197.85</v>
      </c>
      <c r="N86" s="2">
        <v>462156.5</v>
      </c>
      <c r="O86" s="2">
        <v>488515.29</v>
      </c>
      <c r="P86" s="2">
        <v>841839.06</v>
      </c>
      <c r="T86" t="s">
        <v>615</v>
      </c>
      <c r="W86" s="2"/>
    </row>
    <row r="87" spans="1:36" ht="24.666666666666668" customHeight="1">
      <c r="A87">
        <v>15</v>
      </c>
      <c r="B87" t="s">
        <v>499</v>
      </c>
      <c r="C87" s="2">
        <v>2900907.03</v>
      </c>
      <c r="D87" s="2">
        <v>430984.23</v>
      </c>
      <c r="E87" s="2">
        <v>51763.14</v>
      </c>
      <c r="F87" t="s">
        <v>635</v>
      </c>
      <c r="G87" t="s">
        <v>635</v>
      </c>
      <c r="H87" s="2">
        <v>10108.17</v>
      </c>
      <c r="I87" s="2">
        <v>733185.3</v>
      </c>
      <c r="J87" s="2">
        <v>601803.53</v>
      </c>
      <c r="K87" s="2">
        <v>185906.37</v>
      </c>
      <c r="L87" s="2">
        <v>235428.2</v>
      </c>
      <c r="M87" s="2">
        <v>1226110.77</v>
      </c>
      <c r="N87" s="2">
        <v>726882.78</v>
      </c>
      <c r="O87" s="2">
        <v>749227.08</v>
      </c>
      <c r="P87" s="2">
        <v>1203766.47</v>
      </c>
      <c r="T87" t="s">
        <v>615</v>
      </c>
      <c r="W87" s="2"/>
      <c r="AJ87" s="2"/>
    </row>
    <row r="88" spans="1:36" ht="24.666666666666668" customHeight="1">
      <c r="A88">
        <v>16</v>
      </c>
      <c r="B88" t="s">
        <v>702</v>
      </c>
      <c r="C88" s="2">
        <v>917878.73</v>
      </c>
      <c r="D88" s="2">
        <v>101712.54</v>
      </c>
      <c r="E88" t="s">
        <v>635</v>
      </c>
      <c r="F88" t="s">
        <v>635</v>
      </c>
      <c r="G88" t="s">
        <v>635</v>
      </c>
      <c r="H88" t="s">
        <v>635</v>
      </c>
      <c r="I88" s="2">
        <v>202347.13</v>
      </c>
      <c r="J88" s="2">
        <v>186404.43</v>
      </c>
      <c r="K88" s="2">
        <v>172132.32</v>
      </c>
      <c r="L88" s="2">
        <v>39545.18</v>
      </c>
      <c r="M88" s="2">
        <v>294827.48</v>
      </c>
      <c r="N88" s="2">
        <v>184433.81</v>
      </c>
      <c r="O88" s="2">
        <v>218722.04</v>
      </c>
      <c r="P88" s="2">
        <v>260539.25</v>
      </c>
      <c r="T88" t="s">
        <v>615</v>
      </c>
      <c r="W88" s="2"/>
      <c r="AJ88" s="2"/>
    </row>
    <row r="89" spans="1:36" ht="24.666666666666668" customHeight="1">
      <c r="A89">
        <v>17</v>
      </c>
      <c r="B89" t="s">
        <v>703</v>
      </c>
      <c r="C89" s="2">
        <v>403621</v>
      </c>
      <c r="D89" s="2">
        <v>22742</v>
      </c>
      <c r="E89" s="2">
        <v>98285</v>
      </c>
      <c r="F89" t="s">
        <v>635</v>
      </c>
      <c r="G89">
        <v>9</v>
      </c>
      <c r="H89" s="2">
        <v>17827</v>
      </c>
      <c r="I89" s="2">
        <v>181178</v>
      </c>
      <c r="J89" s="2">
        <v>192361</v>
      </c>
      <c r="K89" s="2">
        <v>81891</v>
      </c>
      <c r="L89" s="2">
        <v>88771</v>
      </c>
      <c r="M89" s="2">
        <v>94687</v>
      </c>
      <c r="N89" s="2">
        <v>61366</v>
      </c>
      <c r="O89" s="2">
        <v>60579</v>
      </c>
      <c r="P89" s="2">
        <v>95474</v>
      </c>
      <c r="T89" t="s">
        <v>615</v>
      </c>
      <c r="W89" s="2"/>
      <c r="AJ89" s="2"/>
    </row>
    <row r="90" spans="1:36" ht="24.666666666666668" customHeight="1">
      <c r="A90">
        <v>18</v>
      </c>
      <c r="B90" t="s">
        <v>323</v>
      </c>
      <c r="C90" s="2">
        <v>2118962.48</v>
      </c>
      <c r="D90" s="2">
        <v>364934.31</v>
      </c>
      <c r="E90" s="2">
        <v>176907.13</v>
      </c>
      <c r="F90" s="2">
        <v>2101.83</v>
      </c>
      <c r="G90" t="s">
        <v>635</v>
      </c>
      <c r="H90" s="2">
        <v>33751.69</v>
      </c>
      <c r="I90" s="2">
        <v>469513.2</v>
      </c>
      <c r="J90" s="2">
        <v>526683.81</v>
      </c>
      <c r="K90" s="2">
        <v>198381.4</v>
      </c>
      <c r="L90" s="2">
        <v>282202.58</v>
      </c>
      <c r="M90" s="2">
        <v>986909.61</v>
      </c>
      <c r="N90" s="2">
        <v>757888.35</v>
      </c>
      <c r="O90" s="2">
        <v>658515.78</v>
      </c>
      <c r="P90" s="2">
        <v>1086282.19</v>
      </c>
      <c r="T90" t="s">
        <v>615</v>
      </c>
      <c r="W90" s="2"/>
      <c r="AJ90" s="2"/>
    </row>
    <row r="91" spans="1:36" ht="24.666666666666668" customHeight="1">
      <c r="A91">
        <v>19</v>
      </c>
      <c r="B91" t="s">
        <v>551</v>
      </c>
      <c r="C91" s="2">
        <v>850415.24</v>
      </c>
      <c r="D91" s="2">
        <v>130072.95</v>
      </c>
      <c r="E91">
        <v>207.79</v>
      </c>
      <c r="F91" t="s">
        <v>635</v>
      </c>
      <c r="G91" t="s">
        <v>635</v>
      </c>
      <c r="H91" t="s">
        <v>635</v>
      </c>
      <c r="I91" s="2">
        <v>66158.4</v>
      </c>
      <c r="J91" s="2">
        <v>6401.74</v>
      </c>
      <c r="K91" s="2">
        <v>5575.88</v>
      </c>
      <c r="L91" s="2">
        <v>22628.55</v>
      </c>
      <c r="M91" s="2">
        <v>665042.61</v>
      </c>
      <c r="N91" s="2">
        <v>655074.54</v>
      </c>
      <c r="O91" s="2">
        <v>663455.6</v>
      </c>
      <c r="P91" s="2">
        <v>656661.55</v>
      </c>
      <c r="T91" t="s">
        <v>615</v>
      </c>
      <c r="W91" s="2"/>
      <c r="AJ91" s="2"/>
    </row>
    <row r="92" spans="1:36" ht="24.666666666666668" customHeight="1">
      <c r="A92">
        <v>20</v>
      </c>
      <c r="B92" t="s">
        <v>706</v>
      </c>
      <c r="C92" s="2">
        <v>872043.25</v>
      </c>
      <c r="D92" s="2">
        <v>63307.89</v>
      </c>
      <c r="E92" s="2">
        <v>1692.24</v>
      </c>
      <c r="F92" t="s">
        <v>635</v>
      </c>
      <c r="G92" t="s">
        <v>635</v>
      </c>
      <c r="H92" t="s">
        <v>635</v>
      </c>
      <c r="I92" s="2">
        <v>663019.48</v>
      </c>
      <c r="J92" s="2">
        <v>14969.2</v>
      </c>
      <c r="K92" s="2">
        <v>13221.17</v>
      </c>
      <c r="L92" s="2">
        <v>76407.01</v>
      </c>
      <c r="M92" s="2">
        <v>195624.77</v>
      </c>
      <c r="N92" s="2">
        <v>125798.21</v>
      </c>
      <c r="O92" s="2">
        <v>111983.2</v>
      </c>
      <c r="P92" s="2">
        <v>209439.78</v>
      </c>
      <c r="T92" t="s">
        <v>615</v>
      </c>
      <c r="W92" s="2"/>
      <c r="AJ92" s="2"/>
    </row>
    <row r="93" spans="1:36" ht="24.666666666666668" customHeight="1">
      <c r="A93">
        <v>21</v>
      </c>
      <c r="B93" t="s">
        <v>472</v>
      </c>
      <c r="C93" s="2">
        <v>3375068.26</v>
      </c>
      <c r="D93" s="2">
        <v>212702.58</v>
      </c>
      <c r="E93" s="2">
        <v>2963.66</v>
      </c>
      <c r="F93" t="s">
        <v>635</v>
      </c>
      <c r="G93" t="s">
        <v>635</v>
      </c>
      <c r="H93">
        <v>782.45</v>
      </c>
      <c r="I93" s="2">
        <v>290898.24</v>
      </c>
      <c r="J93" s="2">
        <v>311465.06</v>
      </c>
      <c r="K93" t="s">
        <v>635</v>
      </c>
      <c r="L93" s="2">
        <v>124796.54</v>
      </c>
      <c r="M93" s="2">
        <v>2686980.13</v>
      </c>
      <c r="N93" s="2">
        <v>454824.84</v>
      </c>
      <c r="O93" s="2">
        <v>484485.49</v>
      </c>
      <c r="P93" s="2">
        <v>2657319.48</v>
      </c>
      <c r="T93" t="s">
        <v>615</v>
      </c>
      <c r="W93" s="2"/>
      <c r="AJ93" s="2"/>
    </row>
    <row r="94" spans="1:36" ht="24.666666666666668" customHeight="1">
      <c r="B94" t="s">
        <v>701</v>
      </c>
      <c r="C94" s="2">
        <v>33087554.73</v>
      </c>
      <c r="D94" s="2">
        <v>4142504.25</v>
      </c>
      <c r="E94" s="2">
        <v>838257.38</v>
      </c>
      <c r="F94" s="2">
        <v>57347.77</v>
      </c>
      <c r="G94" s="2">
        <v>464534.42</v>
      </c>
      <c r="H94" s="2">
        <v>268669.66</v>
      </c>
      <c r="I94" s="2">
        <v>9240081.43</v>
      </c>
      <c r="J94" s="2">
        <v>3606071.99</v>
      </c>
      <c r="K94" s="2">
        <v>4435331.55</v>
      </c>
      <c r="L94" s="2">
        <v>2834524.55</v>
      </c>
      <c r="M94" s="2">
        <v>15589559.97</v>
      </c>
      <c r="N94" s="2">
        <v>7087972.01</v>
      </c>
      <c r="O94" s="2">
        <v>7355793.43</v>
      </c>
      <c r="P94" s="2">
        <v>15321738.55</v>
      </c>
      <c r="T94" t="s">
        <v>615</v>
      </c>
      <c r="W94" s="2"/>
      <c r="AJ94" s="2"/>
    </row>
    <row r="95" spans="1:36" ht="24.666666666666668" customHeight="1">
      <c r="T95" t="s">
        <v>615</v>
      </c>
      <c r="W95" s="2"/>
      <c r="AJ95" s="2"/>
    </row>
    <row r="96" spans="1:36" ht="24.666666666666668" customHeight="1">
      <c r="B96" t="s">
        <v>715</v>
      </c>
      <c r="T96" t="s">
        <v>615</v>
      </c>
      <c r="W96" s="2"/>
      <c r="AJ96" s="2"/>
    </row>
    <row r="97" spans="1:36" ht="24.666666666666668" customHeight="1">
      <c r="B97" t="s">
        <v>716</v>
      </c>
      <c r="T97" t="s">
        <v>615</v>
      </c>
      <c r="W97" s="2"/>
      <c r="AJ97" s="2"/>
    </row>
    <row r="98" spans="1:36" ht="24.666666666666668" customHeight="1">
      <c r="T98" t="s">
        <v>615</v>
      </c>
      <c r="W98" s="2"/>
      <c r="AJ98" s="2"/>
    </row>
    <row r="99" spans="1:36" ht="24.666666666666668" customHeight="1">
      <c r="A99">
        <v>1</v>
      </c>
      <c r="B99" t="s">
        <v>707</v>
      </c>
      <c r="C99" t="s">
        <v>635</v>
      </c>
      <c r="D99" t="s">
        <v>635</v>
      </c>
      <c r="E99" s="2">
        <v>6312501.51</v>
      </c>
      <c r="F99" s="2">
        <v>18036.69</v>
      </c>
      <c r="G99" s="2">
        <v>18800.27</v>
      </c>
      <c r="H99" s="2">
        <v>1274605.04</v>
      </c>
      <c r="I99" s="2">
        <v>2105348.67</v>
      </c>
      <c r="J99" s="2">
        <v>691262.81</v>
      </c>
      <c r="K99" s="2">
        <v>130282.45</v>
      </c>
      <c r="L99" s="2">
        <v>432986.61</v>
      </c>
      <c r="M99" s="2">
        <v>2580826.1</v>
      </c>
      <c r="N99" s="2">
        <v>1192222.48</v>
      </c>
      <c r="O99" s="2">
        <v>1218133.83</v>
      </c>
      <c r="P99" s="2">
        <v>2554914.75</v>
      </c>
      <c r="T99" t="s">
        <v>615</v>
      </c>
      <c r="W99" s="2"/>
      <c r="AJ99" s="2"/>
    </row>
    <row r="100" spans="1:36" ht="24.666666666666668" customHeight="1">
      <c r="A100">
        <v>2</v>
      </c>
      <c r="B100" t="s">
        <v>708</v>
      </c>
      <c r="C100" t="s">
        <v>635</v>
      </c>
      <c r="D100" t="s">
        <v>635</v>
      </c>
      <c r="E100" s="2">
        <v>3468679.99</v>
      </c>
      <c r="F100" s="2">
        <v>41718.6</v>
      </c>
      <c r="G100">
        <v>-43.95</v>
      </c>
      <c r="H100" s="2">
        <v>498565.75</v>
      </c>
      <c r="I100" s="2">
        <v>15028.68</v>
      </c>
      <c r="J100" s="2">
        <v>1017365.11</v>
      </c>
      <c r="K100" s="2">
        <v>354206.22</v>
      </c>
      <c r="L100" s="2">
        <v>113290.83</v>
      </c>
      <c r="M100" s="2">
        <v>1738479.7</v>
      </c>
      <c r="N100" s="2">
        <v>448158.08</v>
      </c>
      <c r="O100" s="2">
        <v>440643.85</v>
      </c>
      <c r="P100" s="2">
        <v>1745993.93</v>
      </c>
      <c r="T100" t="s">
        <v>615</v>
      </c>
      <c r="W100" s="2"/>
      <c r="AJ100" s="2"/>
    </row>
    <row r="101" spans="1:36" ht="24.666666666666668" customHeight="1">
      <c r="A101">
        <v>3</v>
      </c>
      <c r="B101" t="s">
        <v>709</v>
      </c>
      <c r="C101" t="s">
        <v>635</v>
      </c>
      <c r="D101" t="s">
        <v>635</v>
      </c>
      <c r="E101" s="2">
        <v>4391776.99</v>
      </c>
      <c r="F101" s="2">
        <v>72818.94</v>
      </c>
      <c r="G101" t="s">
        <v>635</v>
      </c>
      <c r="H101" s="2">
        <v>781992.53</v>
      </c>
      <c r="I101" s="2">
        <v>467265.37</v>
      </c>
      <c r="J101" s="2">
        <v>342718.76</v>
      </c>
      <c r="K101" t="s">
        <v>635</v>
      </c>
      <c r="L101" s="2">
        <v>19385.43</v>
      </c>
      <c r="M101" s="2">
        <v>2892004.7</v>
      </c>
      <c r="N101" s="2">
        <v>2262766.32</v>
      </c>
      <c r="O101" s="2">
        <v>2896842.24</v>
      </c>
      <c r="P101" s="2">
        <v>2257928.78</v>
      </c>
      <c r="T101" t="s">
        <v>615</v>
      </c>
      <c r="W101" s="2"/>
      <c r="AJ101" s="2"/>
    </row>
    <row r="102" spans="1:36" ht="24.666666666666668" customHeight="1">
      <c r="A102">
        <v>4</v>
      </c>
      <c r="B102" t="s">
        <v>710</v>
      </c>
      <c r="C102" t="s">
        <v>635</v>
      </c>
      <c r="D102" t="s">
        <v>635</v>
      </c>
      <c r="E102" s="2">
        <v>2933989.53</v>
      </c>
      <c r="F102" s="2">
        <v>356887.33</v>
      </c>
      <c r="G102" s="2">
        <v>6609.86</v>
      </c>
      <c r="H102" s="2">
        <v>815487.99</v>
      </c>
      <c r="I102" s="2">
        <v>466613.58</v>
      </c>
      <c r="J102" s="2">
        <v>296863.23</v>
      </c>
      <c r="K102" s="2">
        <v>14097.56</v>
      </c>
      <c r="L102" s="2">
        <v>45950.15</v>
      </c>
      <c r="M102" s="2">
        <v>1750374.5</v>
      </c>
      <c r="N102" s="2">
        <v>784903.72</v>
      </c>
      <c r="O102" s="2">
        <v>895834.95</v>
      </c>
      <c r="P102" s="2">
        <v>1639443.27</v>
      </c>
      <c r="T102" t="s">
        <v>615</v>
      </c>
      <c r="W102" s="2"/>
      <c r="AJ102" s="2"/>
    </row>
    <row r="103" spans="1:36" ht="24.666666666666668" customHeight="1">
      <c r="A103">
        <v>5</v>
      </c>
      <c r="B103" t="s">
        <v>711</v>
      </c>
      <c r="C103" t="s">
        <v>635</v>
      </c>
      <c r="D103" t="s">
        <v>635</v>
      </c>
      <c r="E103" s="2">
        <v>407249.15</v>
      </c>
      <c r="F103" t="s">
        <v>635</v>
      </c>
      <c r="G103" t="s">
        <v>635</v>
      </c>
      <c r="H103" s="2">
        <v>141716.14</v>
      </c>
      <c r="I103" s="2">
        <v>91291.22</v>
      </c>
      <c r="J103" s="2">
        <v>37355.84</v>
      </c>
      <c r="K103" s="2">
        <v>6836.61</v>
      </c>
      <c r="L103" t="s">
        <v>635</v>
      </c>
      <c r="M103" s="2">
        <v>130049.35</v>
      </c>
      <c r="N103" s="2">
        <v>115124.51</v>
      </c>
      <c r="O103" s="2">
        <v>115516.39</v>
      </c>
      <c r="P103" s="2">
        <v>129657.46</v>
      </c>
      <c r="T103" t="s">
        <v>615</v>
      </c>
      <c r="W103" s="2"/>
      <c r="AJ103" s="2"/>
    </row>
    <row r="104" spans="1:36" ht="24.666666666666668" customHeight="1">
      <c r="A104">
        <v>6</v>
      </c>
      <c r="B104" t="s">
        <v>712</v>
      </c>
      <c r="C104" t="s">
        <v>635</v>
      </c>
      <c r="D104" t="s">
        <v>635</v>
      </c>
      <c r="E104" s="2">
        <v>4298446.94</v>
      </c>
      <c r="F104" s="2">
        <v>2427814.29</v>
      </c>
      <c r="G104" t="s">
        <v>635</v>
      </c>
      <c r="H104" s="2">
        <v>433017.59</v>
      </c>
      <c r="I104" s="2">
        <v>775198.86</v>
      </c>
      <c r="J104" s="2">
        <v>4975512.12</v>
      </c>
      <c r="K104" t="s">
        <v>635</v>
      </c>
      <c r="L104" s="2">
        <v>30027.84</v>
      </c>
      <c r="M104" s="2">
        <v>572560.49</v>
      </c>
      <c r="N104" s="2">
        <v>117095.15</v>
      </c>
      <c r="O104" s="2">
        <v>136156.06</v>
      </c>
      <c r="P104" s="2">
        <v>553499.58</v>
      </c>
      <c r="T104" t="s">
        <v>615</v>
      </c>
      <c r="W104" s="2"/>
      <c r="AJ104" s="2"/>
    </row>
    <row r="105" spans="1:36" ht="24.666666666666668" customHeight="1">
      <c r="A105">
        <v>7</v>
      </c>
      <c r="B105" t="s">
        <v>713</v>
      </c>
      <c r="C105" t="s">
        <v>635</v>
      </c>
      <c r="D105" t="s">
        <v>635</v>
      </c>
      <c r="E105" s="2">
        <v>1186382</v>
      </c>
      <c r="F105" t="s">
        <v>635</v>
      </c>
      <c r="G105" t="s">
        <v>635</v>
      </c>
      <c r="H105" s="2">
        <v>236946.9</v>
      </c>
      <c r="I105" s="2">
        <v>383236.79</v>
      </c>
      <c r="J105" t="s">
        <v>635</v>
      </c>
      <c r="K105" t="s">
        <v>635</v>
      </c>
      <c r="L105" s="2">
        <v>35001.69</v>
      </c>
      <c r="M105" s="2">
        <v>601200</v>
      </c>
      <c r="N105" s="2">
        <v>71412.05</v>
      </c>
      <c r="O105" s="2">
        <v>199523.61</v>
      </c>
      <c r="P105" s="2">
        <v>473088.44</v>
      </c>
      <c r="T105" t="s">
        <v>615</v>
      </c>
      <c r="W105" s="2"/>
      <c r="AJ105" s="2"/>
    </row>
    <row r="106" spans="1:36" ht="24.666666666666668" customHeight="1">
      <c r="A106">
        <v>8</v>
      </c>
      <c r="B106" t="s">
        <v>714</v>
      </c>
      <c r="C106" t="s">
        <v>635</v>
      </c>
      <c r="D106" t="s">
        <v>635</v>
      </c>
      <c r="E106" t="s">
        <v>635</v>
      </c>
      <c r="F106" t="s">
        <v>635</v>
      </c>
      <c r="G106" t="s">
        <v>635</v>
      </c>
      <c r="H106" t="s">
        <v>635</v>
      </c>
      <c r="I106" t="s">
        <v>635</v>
      </c>
      <c r="J106" t="s">
        <v>635</v>
      </c>
      <c r="K106" t="s">
        <v>635</v>
      </c>
      <c r="L106" t="s">
        <v>635</v>
      </c>
      <c r="M106" t="s">
        <v>635</v>
      </c>
      <c r="N106" t="s">
        <v>635</v>
      </c>
      <c r="O106" t="s">
        <v>635</v>
      </c>
      <c r="P106" t="s">
        <v>635</v>
      </c>
      <c r="T106" t="s">
        <v>615</v>
      </c>
      <c r="W106" s="2"/>
      <c r="AJ106" s="2"/>
    </row>
    <row r="107" spans="1:36" ht="24.666666666666668" customHeight="1">
      <c r="B107" t="s">
        <v>701</v>
      </c>
      <c r="C107" t="s">
        <v>635</v>
      </c>
      <c r="D107" t="s">
        <v>635</v>
      </c>
      <c r="E107" s="2">
        <v>22999026.1</v>
      </c>
      <c r="F107" s="2">
        <v>2917275.85</v>
      </c>
      <c r="G107" s="2">
        <v>25366.18</v>
      </c>
      <c r="H107" s="2">
        <v>4182331.95</v>
      </c>
      <c r="I107" s="2">
        <v>4303983.15</v>
      </c>
      <c r="J107" s="2">
        <v>7361077.88</v>
      </c>
      <c r="K107" s="2">
        <v>505422.84</v>
      </c>
      <c r="L107" s="2">
        <v>676642.53</v>
      </c>
      <c r="M107" s="2">
        <v>10265494.84</v>
      </c>
      <c r="N107" s="2">
        <v>4991682.29</v>
      </c>
      <c r="O107" s="2">
        <v>5902650.92</v>
      </c>
      <c r="P107" s="2">
        <v>9354526.21</v>
      </c>
      <c r="T107" t="s">
        <v>615</v>
      </c>
      <c r="W107" s="2"/>
      <c r="AJ107" s="2"/>
    </row>
    <row r="108" spans="1:36" ht="24.666666666666668" customHeight="1">
      <c r="T108" t="s">
        <v>615</v>
      </c>
      <c r="W108" s="2"/>
      <c r="AJ108" s="2"/>
    </row>
    <row r="109" spans="1:36" ht="24.666666666666668" customHeight="1">
      <c r="B109" t="s">
        <v>717</v>
      </c>
      <c r="C109" s="2">
        <v>108819287.44</v>
      </c>
      <c r="D109" s="2">
        <v>12105725.86</v>
      </c>
      <c r="E109" s="2">
        <v>27216175</v>
      </c>
      <c r="F109" s="2">
        <v>2991665.55</v>
      </c>
      <c r="G109" s="2">
        <v>501289.94</v>
      </c>
      <c r="H109" s="2">
        <v>4612352.82</v>
      </c>
      <c r="I109" s="2">
        <v>33599869.8</v>
      </c>
      <c r="J109" s="2">
        <v>16275114.92</v>
      </c>
      <c r="K109" s="2">
        <v>7233592.3</v>
      </c>
      <c r="L109" s="2">
        <v>7113782.29</v>
      </c>
      <c r="M109" s="2">
        <v>72815544.52</v>
      </c>
      <c r="N109" s="2">
        <v>33397604.4</v>
      </c>
      <c r="O109" s="2">
        <v>54388232.27</v>
      </c>
      <c r="P109" s="2">
        <v>51824916.64</v>
      </c>
      <c r="T109" t="s">
        <v>615</v>
      </c>
      <c r="W109" s="2"/>
      <c r="AJ109" s="2"/>
    </row>
    <row r="110" spans="1:36" ht="24.666666666666668" customHeight="1">
      <c r="A110" t="s">
        <v>718</v>
      </c>
      <c r="T110" t="s">
        <v>615</v>
      </c>
      <c r="W110" s="2"/>
      <c r="AJ110" s="2"/>
    </row>
    <row r="111" spans="1:36" ht="24.666666666666668" customHeight="1">
      <c r="A111" t="s">
        <v>719</v>
      </c>
      <c r="T111" t="s">
        <v>615</v>
      </c>
      <c r="W111" s="2"/>
      <c r="AJ111" s="2"/>
    </row>
    <row r="112" spans="1:36" ht="24.666666666666668" customHeight="1">
      <c r="A112" t="s">
        <v>618</v>
      </c>
      <c r="B112" t="s">
        <v>619</v>
      </c>
      <c r="C112" t="s">
        <v>620</v>
      </c>
      <c r="D112" t="s">
        <v>621</v>
      </c>
      <c r="E112" t="s">
        <v>622</v>
      </c>
      <c r="F112" t="s">
        <v>623</v>
      </c>
      <c r="G112" t="s">
        <v>624</v>
      </c>
      <c r="H112" t="s">
        <v>625</v>
      </c>
      <c r="I112" t="s">
        <v>626</v>
      </c>
      <c r="J112" t="s">
        <v>627</v>
      </c>
      <c r="K112" t="s">
        <v>628</v>
      </c>
      <c r="L112" t="s">
        <v>629</v>
      </c>
      <c r="M112" t="s">
        <v>630</v>
      </c>
      <c r="N112" t="s">
        <v>631</v>
      </c>
      <c r="O112" t="s">
        <v>632</v>
      </c>
      <c r="P112" t="s">
        <v>633</v>
      </c>
      <c r="T112" t="s">
        <v>615</v>
      </c>
      <c r="W112" s="2"/>
      <c r="AJ112" s="2"/>
    </row>
    <row r="113" spans="1:36">
      <c r="A113" s="2"/>
      <c r="B113" s="2" t="s">
        <v>463</v>
      </c>
      <c r="C113" s="2">
        <v>108819284.41</v>
      </c>
      <c r="D113" s="2">
        <v>12105721.86</v>
      </c>
      <c r="E113" s="2">
        <v>27216169.97</v>
      </c>
      <c r="F113" s="2">
        <v>2991659.54</v>
      </c>
      <c r="G113" s="2">
        <v>501282.94</v>
      </c>
      <c r="H113" s="2">
        <v>4612344.79</v>
      </c>
      <c r="I113" s="2">
        <v>33599860.83</v>
      </c>
      <c r="J113" s="2">
        <v>16275104.93</v>
      </c>
      <c r="K113" s="2">
        <v>7233581.28</v>
      </c>
      <c r="L113" s="2">
        <v>7113770.31</v>
      </c>
      <c r="M113" s="2">
        <v>72815531.53</v>
      </c>
      <c r="N113" s="2">
        <v>33397590.43</v>
      </c>
      <c r="O113" s="2">
        <v>54388217.28</v>
      </c>
      <c r="P113" s="2">
        <v>51824900.65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sheetFormatPr defaultRowHeight="15"/>
  <cols>
    <col min="2" max="2" width="18.7109375" customWidth="1"/>
    <col min="3" max="3" width="76.7109375" customWidth="1"/>
    <col min="4" max="4" width="39.85546875" customWidth="1"/>
    <col min="5" max="5" width="30.42578125" customWidth="1"/>
    <col min="6" max="6" width="45.7109375" customWidth="1"/>
    <col min="9" max="9" width="25.7109375" customWidth="1"/>
    <col min="10" max="10" width="33" customWidth="1"/>
    <col min="11" max="11" width="24.140625" customWidth="1"/>
    <col min="12" max="12" width="22" customWidth="1"/>
    <col min="13" max="13" width="28.85546875" customWidth="1"/>
  </cols>
  <sheetData>
    <row r="1" spans="1:10">
      <c r="A1" s="64" t="s">
        <v>720</v>
      </c>
      <c r="B1" s="64"/>
      <c r="C1" s="65"/>
      <c r="D1" s="64"/>
      <c r="E1" s="64"/>
      <c r="F1" s="64"/>
      <c r="H1" s="66"/>
      <c r="J1" s="67"/>
    </row>
    <row r="2" spans="1:10">
      <c r="A2" s="64" t="s">
        <v>721</v>
      </c>
      <c r="B2" s="64" t="s">
        <v>722</v>
      </c>
      <c r="C2" s="65" t="s">
        <v>723</v>
      </c>
      <c r="D2" s="64" t="s">
        <v>724</v>
      </c>
      <c r="E2" s="64" t="s">
        <v>725</v>
      </c>
      <c r="F2" s="64" t="s">
        <v>726</v>
      </c>
      <c r="J2" s="67"/>
    </row>
    <row r="3" spans="1:10" ht="46" customHeight="1">
      <c r="A3" s="64" t="s">
        <v>727</v>
      </c>
      <c r="B3" s="64" t="s">
        <v>728</v>
      </c>
      <c r="C3" s="65" t="s">
        <v>729</v>
      </c>
      <c r="D3" s="65" t="s">
        <v>730</v>
      </c>
      <c r="E3" s="65" t="s">
        <v>462</v>
      </c>
      <c r="F3" s="65" t="s">
        <v>731</v>
      </c>
      <c r="J3" s="67"/>
    </row>
    <row r="4" spans="1:10" ht="35.333333333333336" customHeight="1">
      <c r="A4" s="64" t="s">
        <v>732</v>
      </c>
      <c r="B4" s="64" t="s">
        <v>728</v>
      </c>
      <c r="C4" s="65" t="s">
        <v>733</v>
      </c>
      <c r="D4" s="65" t="s">
        <v>734</v>
      </c>
      <c r="E4" s="65" t="s">
        <v>735</v>
      </c>
      <c r="F4" s="65" t="s">
        <v>462</v>
      </c>
    </row>
    <row r="6" spans="1:10">
      <c r="B6" t="s">
        <v>736</v>
      </c>
    </row>
    <row r="7" spans="1:10">
      <c r="B7" t="s">
        <v>737</v>
      </c>
      <c r="C7" t="s">
        <v>738</v>
      </c>
      <c r="D7" t="s">
        <v>739</v>
      </c>
      <c r="E7" t="s">
        <v>740</v>
      </c>
    </row>
    <row r="8" spans="1:10">
      <c r="B8" t="s">
        <v>741</v>
      </c>
      <c r="C8" t="s">
        <v>742</v>
      </c>
      <c r="J8" s="67"/>
    </row>
    <row r="9" spans="1:10">
      <c r="B9">
        <v>1</v>
      </c>
      <c r="C9" s="17" t="s">
        <v>743</v>
      </c>
      <c r="J9" s="67"/>
    </row>
    <row r="10" spans="1:10">
      <c r="C10" s="17" t="s">
        <v>744</v>
      </c>
      <c r="D10" t="s">
        <v>745</v>
      </c>
      <c r="E10" t="s">
        <v>746</v>
      </c>
      <c r="J10" s="67"/>
    </row>
    <row r="11" spans="1:10">
      <c r="C11" s="17" t="s">
        <v>747</v>
      </c>
      <c r="D11" t="s">
        <v>748</v>
      </c>
      <c r="J11" s="67"/>
    </row>
    <row r="12" spans="1:10">
      <c r="B12">
        <v>2</v>
      </c>
      <c r="C12" t="s">
        <v>749</v>
      </c>
      <c r="J12" s="67"/>
    </row>
    <row r="13" spans="1:10">
      <c r="C13" t="s">
        <v>750</v>
      </c>
      <c r="D13" t="s">
        <v>751</v>
      </c>
      <c r="E13" t="s">
        <v>752</v>
      </c>
      <c r="J13" s="67"/>
    </row>
    <row r="14" spans="1:10">
      <c r="B14">
        <v>3</v>
      </c>
      <c r="C14" t="s">
        <v>753</v>
      </c>
      <c r="J14" s="67"/>
    </row>
    <row r="15" spans="1:10">
      <c r="B15">
        <v>4</v>
      </c>
      <c r="C15" t="s">
        <v>728</v>
      </c>
      <c r="J15" s="67"/>
    </row>
    <row r="16" spans="1:10">
      <c r="C16" t="s">
        <v>754</v>
      </c>
      <c r="D16" t="s">
        <v>755</v>
      </c>
      <c r="J16" s="67"/>
    </row>
    <row r="17" spans="2:10">
      <c r="C17" t="s">
        <v>756</v>
      </c>
      <c r="J17" s="67"/>
    </row>
    <row r="18" spans="2:10">
      <c r="B18">
        <v>5</v>
      </c>
      <c r="C18" t="s">
        <v>757</v>
      </c>
      <c r="J18" s="67"/>
    </row>
    <row r="19" spans="2:10">
      <c r="B19">
        <v>6</v>
      </c>
      <c r="C19" s="68" t="s">
        <v>758</v>
      </c>
      <c r="D19" t="s">
        <v>759</v>
      </c>
      <c r="J19" s="67"/>
    </row>
    <row r="20" spans="2:10">
      <c r="B20">
        <v>7</v>
      </c>
      <c r="C20" t="s">
        <v>760</v>
      </c>
      <c r="J20" s="67"/>
    </row>
    <row r="21" spans="2:10">
      <c r="C21" t="s">
        <v>761</v>
      </c>
      <c r="J21" s="67"/>
    </row>
    <row r="22" spans="2:10">
      <c r="C22" t="s">
        <v>762</v>
      </c>
      <c r="J22" s="67"/>
    </row>
    <row r="23" spans="2:10">
      <c r="C23" t="s">
        <v>763</v>
      </c>
      <c r="J23" s="67"/>
    </row>
    <row r="24" spans="2:10">
      <c r="B24">
        <v>8</v>
      </c>
      <c r="C24" t="s">
        <v>764</v>
      </c>
      <c r="D24" t="s">
        <v>765</v>
      </c>
      <c r="E24" t="s">
        <v>766</v>
      </c>
      <c r="J24" s="67"/>
    </row>
    <row r="25" spans="2:10">
      <c r="B25">
        <v>9</v>
      </c>
      <c r="C25" t="s">
        <v>767</v>
      </c>
      <c r="J25" s="67"/>
    </row>
    <row r="26" spans="2:10">
      <c r="B26">
        <v>10</v>
      </c>
      <c r="C26" t="s">
        <v>768</v>
      </c>
      <c r="J26" s="67"/>
    </row>
    <row r="27" spans="2:10">
      <c r="B27">
        <v>11</v>
      </c>
      <c r="C27" t="s">
        <v>769</v>
      </c>
      <c r="D27" t="s">
        <v>770</v>
      </c>
      <c r="J27" s="67"/>
    </row>
    <row r="28" spans="2:10">
      <c r="B28" t="s">
        <v>771</v>
      </c>
      <c r="C28" t="s">
        <v>772</v>
      </c>
      <c r="J28" s="67"/>
    </row>
    <row r="29" spans="2:10">
      <c r="B29">
        <v>12</v>
      </c>
      <c r="C29" t="s">
        <v>773</v>
      </c>
      <c r="J29" s="67"/>
    </row>
    <row r="30" spans="2:10">
      <c r="C30" t="s">
        <v>774</v>
      </c>
      <c r="D30" t="s">
        <v>775</v>
      </c>
      <c r="J30" s="67"/>
    </row>
    <row r="31" spans="2:10">
      <c r="C31" t="s">
        <v>776</v>
      </c>
      <c r="D31" t="s">
        <v>777</v>
      </c>
      <c r="J31" s="67"/>
    </row>
    <row r="32" spans="2:10">
      <c r="C32" t="s">
        <v>778</v>
      </c>
      <c r="D32" t="s">
        <v>779</v>
      </c>
      <c r="E32" t="s">
        <v>780</v>
      </c>
      <c r="J32" s="67"/>
    </row>
    <row r="33" spans="2:10">
      <c r="B33">
        <v>13</v>
      </c>
      <c r="C33" t="s">
        <v>781</v>
      </c>
      <c r="J33" s="67"/>
    </row>
    <row r="34" spans="2:10">
      <c r="B34">
        <v>14</v>
      </c>
      <c r="C34" t="s">
        <v>782</v>
      </c>
      <c r="D34" t="s">
        <v>783</v>
      </c>
      <c r="J34" s="67"/>
    </row>
    <row r="35" spans="2:10">
      <c r="B35">
        <v>15</v>
      </c>
      <c r="C35" t="s">
        <v>784</v>
      </c>
      <c r="D35" t="s">
        <v>785</v>
      </c>
      <c r="E35" t="s">
        <v>786</v>
      </c>
      <c r="J35" s="67"/>
    </row>
    <row r="36" spans="2:10">
      <c r="B36">
        <v>16</v>
      </c>
      <c r="C36" s="17" t="s">
        <v>787</v>
      </c>
      <c r="D36" t="s">
        <v>788</v>
      </c>
      <c r="E36" t="s">
        <v>789</v>
      </c>
      <c r="J36" s="67"/>
    </row>
    <row r="37" spans="2:10">
      <c r="B37">
        <v>17</v>
      </c>
      <c r="C37" s="17" t="s">
        <v>790</v>
      </c>
      <c r="D37" t="s">
        <v>790</v>
      </c>
      <c r="J37" s="67"/>
    </row>
    <row r="38" spans="2:10">
      <c r="B38">
        <v>18</v>
      </c>
      <c r="C38" t="s">
        <v>791</v>
      </c>
      <c r="J38" s="67"/>
    </row>
    <row r="39" spans="2:10">
      <c r="C39" t="s">
        <v>792</v>
      </c>
      <c r="E39" t="s">
        <v>793</v>
      </c>
      <c r="J39" s="67"/>
    </row>
    <row r="40" spans="2:10">
      <c r="C40" t="s">
        <v>794</v>
      </c>
      <c r="J40" s="67"/>
    </row>
    <row r="41" spans="2:10">
      <c r="C41" t="s">
        <v>795</v>
      </c>
      <c r="J41" s="67"/>
    </row>
    <row r="42" spans="2:10">
      <c r="C42" t="s">
        <v>796</v>
      </c>
      <c r="J42" s="67"/>
    </row>
    <row r="43" spans="2:10">
      <c r="C43" t="s">
        <v>797</v>
      </c>
      <c r="J43" s="67"/>
    </row>
    <row r="44" spans="2:10">
      <c r="C44" t="s">
        <v>798</v>
      </c>
      <c r="J44" s="67"/>
    </row>
    <row r="45" spans="2:10">
      <c r="B45">
        <v>19</v>
      </c>
      <c r="C45" t="s">
        <v>799</v>
      </c>
      <c r="D45" t="s">
        <v>800</v>
      </c>
      <c r="J45" s="67"/>
    </row>
    <row r="46" spans="2:10">
      <c r="B46">
        <v>20</v>
      </c>
      <c r="C46" t="s">
        <v>801</v>
      </c>
      <c r="J46" s="67"/>
    </row>
    <row r="47" spans="2:10">
      <c r="B47">
        <v>21</v>
      </c>
      <c r="C47" t="s">
        <v>802</v>
      </c>
      <c r="D47" t="s">
        <v>803</v>
      </c>
      <c r="J47" s="67"/>
    </row>
    <row r="48" spans="2:10">
      <c r="B48">
        <v>22</v>
      </c>
      <c r="C48" t="s">
        <v>804</v>
      </c>
      <c r="J48" s="67"/>
    </row>
    <row r="49" spans="2:10">
      <c r="B49">
        <v>23</v>
      </c>
      <c r="C49" t="s">
        <v>805</v>
      </c>
      <c r="D49" t="s">
        <v>806</v>
      </c>
      <c r="J49" s="67"/>
    </row>
    <row r="50" spans="2:10">
      <c r="B50">
        <v>24</v>
      </c>
      <c r="C50" t="s">
        <v>807</v>
      </c>
      <c r="J50" s="67"/>
    </row>
    <row r="51" spans="2:10">
      <c r="B51">
        <v>25</v>
      </c>
      <c r="C51" t="s">
        <v>808</v>
      </c>
      <c r="D51" t="s">
        <v>809</v>
      </c>
      <c r="J51" s="67"/>
    </row>
    <row r="52" spans="2:10">
      <c r="B52">
        <v>26</v>
      </c>
      <c r="C52" s="17" t="s">
        <v>810</v>
      </c>
      <c r="D52" t="s">
        <v>811</v>
      </c>
      <c r="J52" s="67"/>
    </row>
    <row r="53" spans="2:10">
      <c r="J53" s="6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126"/>
  <sheetViews>
    <sheetView workbookViewId="0"/>
  </sheetViews>
  <sheetFormatPr defaultRowHeight="15"/>
  <sheetData>
    <row r="2" spans="1:29" ht="24.666666666666668" customHeight="1">
      <c r="B2" t="s">
        <v>743</v>
      </c>
      <c r="J2" t="s">
        <v>615</v>
      </c>
      <c r="L2" t="s">
        <v>726</v>
      </c>
      <c r="V2" t="s">
        <v>812</v>
      </c>
    </row>
    <row r="3" spans="1:29" ht="24.666666666666668" customHeight="1">
      <c r="A3" t="s">
        <v>813</v>
      </c>
      <c r="C3" t="s">
        <v>814</v>
      </c>
      <c r="D3" t="s">
        <v>815</v>
      </c>
      <c r="E3" t="s">
        <v>816</v>
      </c>
      <c r="F3" t="s">
        <v>817</v>
      </c>
      <c r="G3" t="s">
        <v>818</v>
      </c>
      <c r="H3" t="s">
        <v>819</v>
      </c>
      <c r="I3" t="s">
        <v>820</v>
      </c>
      <c r="J3" t="s">
        <v>615</v>
      </c>
      <c r="K3" t="s">
        <v>813</v>
      </c>
      <c r="M3" t="s">
        <v>814</v>
      </c>
      <c r="N3" t="s">
        <v>815</v>
      </c>
      <c r="O3" t="s">
        <v>816</v>
      </c>
      <c r="P3" t="s">
        <v>817</v>
      </c>
      <c r="Q3" t="s">
        <v>818</v>
      </c>
      <c r="R3" t="s">
        <v>819</v>
      </c>
      <c r="S3" t="s">
        <v>820</v>
      </c>
      <c r="U3" t="s">
        <v>813</v>
      </c>
      <c r="W3" t="s">
        <v>814</v>
      </c>
      <c r="X3" t="s">
        <v>815</v>
      </c>
      <c r="Y3" t="s">
        <v>816</v>
      </c>
      <c r="Z3" t="s">
        <v>817</v>
      </c>
      <c r="AA3" t="s">
        <v>818</v>
      </c>
      <c r="AB3" t="s">
        <v>819</v>
      </c>
      <c r="AC3" t="s">
        <v>820</v>
      </c>
    </row>
    <row r="4" spans="1:29" ht="24.666666666666668" customHeight="1">
      <c r="B4" t="s">
        <v>1</v>
      </c>
      <c r="C4">
        <v>389558</v>
      </c>
      <c r="D4">
        <v>2025</v>
      </c>
      <c r="E4">
        <v>337.554</v>
      </c>
      <c r="F4">
        <v>116500</v>
      </c>
      <c r="J4" t="s">
        <v>615</v>
      </c>
      <c r="L4" t="s">
        <v>1</v>
      </c>
      <c r="V4" t="s">
        <v>1</v>
      </c>
    </row>
    <row r="5" spans="1:29" ht="24.666666666666668" customHeight="1">
      <c r="B5" t="s">
        <v>2</v>
      </c>
      <c r="C5">
        <v>868545</v>
      </c>
      <c r="D5">
        <v>20320</v>
      </c>
      <c r="E5">
        <v>882.968</v>
      </c>
      <c r="F5">
        <v>383687</v>
      </c>
      <c r="J5" t="s">
        <v>615</v>
      </c>
      <c r="L5" t="s">
        <v>2</v>
      </c>
      <c r="V5" t="s">
        <v>2</v>
      </c>
    </row>
    <row r="6" spans="1:29" ht="24.666666666666668" customHeight="1">
      <c r="B6" t="s">
        <v>3</v>
      </c>
      <c r="C6">
        <v>1251828</v>
      </c>
      <c r="D6">
        <v>43547</v>
      </c>
      <c r="E6">
        <v>991.392</v>
      </c>
      <c r="F6">
        <v>388283</v>
      </c>
      <c r="J6" t="s">
        <v>615</v>
      </c>
      <c r="L6" t="s">
        <v>3</v>
      </c>
      <c r="V6" t="s">
        <v>3</v>
      </c>
    </row>
    <row r="7" spans="1:29" ht="24.666666666666668" customHeight="1">
      <c r="B7" t="s">
        <v>4</v>
      </c>
      <c r="C7">
        <v>1573235</v>
      </c>
      <c r="D7">
        <v>65823</v>
      </c>
      <c r="E7" t="s">
        <v>821</v>
      </c>
      <c r="F7">
        <v>925458</v>
      </c>
      <c r="J7" t="s">
        <v>615</v>
      </c>
      <c r="L7" t="s">
        <v>4</v>
      </c>
      <c r="V7" t="s">
        <v>4</v>
      </c>
    </row>
    <row r="8" spans="1:29" ht="24.666666666666668" customHeight="1">
      <c r="B8" t="s">
        <v>5</v>
      </c>
      <c r="C8">
        <v>2054360</v>
      </c>
      <c r="D8">
        <v>90668</v>
      </c>
      <c r="E8">
        <v>972.979</v>
      </c>
      <c r="F8">
        <v>1175946</v>
      </c>
      <c r="J8" t="s">
        <v>615</v>
      </c>
      <c r="L8" t="s">
        <v>5</v>
      </c>
      <c r="V8" t="s">
        <v>5</v>
      </c>
    </row>
    <row r="9" spans="1:29" ht="24.666666666666668" customHeight="1">
      <c r="B9" t="s">
        <v>6</v>
      </c>
      <c r="C9">
        <v>2480095</v>
      </c>
      <c r="D9">
        <v>107648</v>
      </c>
      <c r="E9" t="s">
        <v>822</v>
      </c>
      <c r="J9" t="s">
        <v>615</v>
      </c>
      <c r="L9" t="s">
        <v>6</v>
      </c>
      <c r="V9" t="s">
        <v>6</v>
      </c>
    </row>
    <row r="10" spans="1:29" ht="24.666666666666668" customHeight="1">
      <c r="B10" t="s">
        <v>7</v>
      </c>
      <c r="C10">
        <v>2877426</v>
      </c>
      <c r="D10">
        <v>129931</v>
      </c>
      <c r="E10" t="s">
        <v>823</v>
      </c>
      <c r="J10" t="s">
        <v>615</v>
      </c>
      <c r="L10" t="s">
        <v>7</v>
      </c>
      <c r="V10" t="s">
        <v>7</v>
      </c>
    </row>
    <row r="11" spans="1:29" ht="24.666666666666668" customHeight="1">
      <c r="B11" t="s">
        <v>8</v>
      </c>
      <c r="C11">
        <v>3114517</v>
      </c>
      <c r="D11">
        <v>155467</v>
      </c>
      <c r="E11" t="s">
        <v>824</v>
      </c>
      <c r="J11" t="s">
        <v>615</v>
      </c>
      <c r="L11" t="s">
        <v>8</v>
      </c>
      <c r="V11" t="s">
        <v>8</v>
      </c>
    </row>
    <row r="12" spans="1:29" ht="24.666666666666668" customHeight="1">
      <c r="B12" t="s">
        <v>9</v>
      </c>
      <c r="C12">
        <v>3341385</v>
      </c>
      <c r="D12">
        <v>178409</v>
      </c>
      <c r="E12" t="s">
        <v>825</v>
      </c>
      <c r="J12" t="s">
        <v>615</v>
      </c>
      <c r="L12" t="s">
        <v>9</v>
      </c>
      <c r="V12" t="s">
        <v>9</v>
      </c>
    </row>
    <row r="13" spans="1:29" ht="24.666666666666668" customHeight="1">
      <c r="B13" t="s">
        <v>10</v>
      </c>
      <c r="C13">
        <v>3689724</v>
      </c>
      <c r="D13">
        <v>199775</v>
      </c>
      <c r="E13" t="s">
        <v>826</v>
      </c>
      <c r="J13" t="s">
        <v>615</v>
      </c>
      <c r="L13" t="s">
        <v>10</v>
      </c>
      <c r="V13" t="s">
        <v>10</v>
      </c>
    </row>
    <row r="14" spans="1:29" ht="24.666666666666668" customHeight="1">
      <c r="B14" t="s">
        <v>11</v>
      </c>
      <c r="C14">
        <v>4105823</v>
      </c>
      <c r="D14">
        <v>223834</v>
      </c>
      <c r="E14" t="s">
        <v>827</v>
      </c>
      <c r="J14" t="s">
        <v>615</v>
      </c>
      <c r="L14" t="s">
        <v>11</v>
      </c>
      <c r="V14" t="s">
        <v>11</v>
      </c>
    </row>
    <row r="15" spans="1:29" ht="24.666666666666668" customHeight="1">
      <c r="B15" t="s">
        <v>12</v>
      </c>
      <c r="C15">
        <v>4571002</v>
      </c>
      <c r="D15">
        <v>243479</v>
      </c>
      <c r="E15" t="s">
        <v>828</v>
      </c>
      <c r="J15" t="s">
        <v>615</v>
      </c>
      <c r="L15" t="s">
        <v>12</v>
      </c>
      <c r="V15" t="s">
        <v>12</v>
      </c>
    </row>
    <row r="16" spans="1:29" ht="24.666666666666668" customHeight="1">
      <c r="J16" t="s">
        <v>615</v>
      </c>
    </row>
    <row r="22" spans="13:29">
      <c r="M22" t="s">
        <v>829</v>
      </c>
    </row>
    <row r="23" spans="13:29">
      <c r="M23" t="s">
        <v>830</v>
      </c>
      <c r="N23" t="s">
        <v>831</v>
      </c>
      <c r="O23" t="s">
        <v>832</v>
      </c>
    </row>
    <row r="24" spans="13:29">
      <c r="M24" t="s">
        <v>833</v>
      </c>
    </row>
    <row r="25" spans="13:29">
      <c r="M25" t="s">
        <v>834</v>
      </c>
      <c r="N25">
        <v>448.155</v>
      </c>
      <c r="O25">
        <v>525.267</v>
      </c>
      <c r="R25" t="s">
        <v>835</v>
      </c>
    </row>
    <row r="26" spans="13:29">
      <c r="M26" t="s">
        <v>836</v>
      </c>
      <c r="N26" s="2">
        <v>5033</v>
      </c>
      <c r="O26" s="2">
        <v>4935</v>
      </c>
      <c r="R26" t="s">
        <v>830</v>
      </c>
      <c r="S26" t="s">
        <v>831</v>
      </c>
      <c r="T26" t="s">
        <v>832</v>
      </c>
    </row>
    <row r="27" spans="13:29">
      <c r="M27" t="s">
        <v>837</v>
      </c>
      <c r="N27" s="2">
        <v>59472</v>
      </c>
      <c r="O27" s="2">
        <v>168875</v>
      </c>
      <c r="R27" t="s">
        <v>838</v>
      </c>
    </row>
    <row r="28" spans="13:29">
      <c r="M28" t="s">
        <v>839</v>
      </c>
      <c r="R28" t="s">
        <v>840</v>
      </c>
      <c r="S28" s="2">
        <v>168718</v>
      </c>
      <c r="T28" s="2">
        <v>75964</v>
      </c>
    </row>
    <row r="29" spans="13:29">
      <c r="M29" t="s">
        <v>841</v>
      </c>
      <c r="N29" s="2">
        <v>2710010</v>
      </c>
      <c r="O29" s="2">
        <v>2102515</v>
      </c>
      <c r="R29" t="s">
        <v>842</v>
      </c>
      <c r="S29" s="2">
        <v>345018</v>
      </c>
      <c r="T29" s="2">
        <v>257916</v>
      </c>
    </row>
    <row r="30" spans="13:29">
      <c r="M30" t="s">
        <v>843</v>
      </c>
      <c r="R30" t="s">
        <v>844</v>
      </c>
      <c r="S30" s="2">
        <v>1325</v>
      </c>
      <c r="T30">
        <v>170</v>
      </c>
    </row>
    <row r="31" spans="13:29">
      <c r="M31" t="s">
        <v>845</v>
      </c>
      <c r="R31" t="s">
        <v>846</v>
      </c>
      <c r="S31" s="2">
        <v>3111</v>
      </c>
      <c r="T31">
        <v>141</v>
      </c>
    </row>
    <row r="32" spans="13:29">
      <c r="M32" t="s">
        <v>847</v>
      </c>
      <c r="R32" t="s">
        <v>848</v>
      </c>
      <c r="S32" s="2">
        <v>20487</v>
      </c>
      <c r="T32" s="2">
        <v>19802</v>
      </c>
    </row>
    <row r="33" spans="13:29">
      <c r="M33" t="s">
        <v>849</v>
      </c>
      <c r="N33" s="2">
        <v>44284</v>
      </c>
      <c r="O33" s="2">
        <v>40519</v>
      </c>
      <c r="R33" t="s">
        <v>850</v>
      </c>
      <c r="S33" s="2">
        <v>538659</v>
      </c>
      <c r="T33" s="2">
        <v>353993</v>
      </c>
    </row>
    <row r="34" spans="13:29">
      <c r="M34" t="s">
        <v>851</v>
      </c>
      <c r="R34" t="s">
        <v>852</v>
      </c>
      <c r="S34" s="2">
        <v>3597896</v>
      </c>
      <c r="T34" s="2">
        <v>3510355</v>
      </c>
    </row>
    <row r="35" spans="13:29">
      <c r="M35" t="s">
        <v>853</v>
      </c>
      <c r="R35" t="s">
        <v>854</v>
      </c>
      <c r="S35" s="2">
        <v>3597896</v>
      </c>
      <c r="T35" s="2">
        <v>3510355</v>
      </c>
    </row>
    <row r="36" spans="13:29">
      <c r="M36" t="s">
        <v>855</v>
      </c>
      <c r="R36" t="s">
        <v>856</v>
      </c>
    </row>
    <row r="37" spans="13:29">
      <c r="M37" t="s">
        <v>857</v>
      </c>
      <c r="N37">
        <v>94.05</v>
      </c>
      <c r="O37" s="2">
        <v>97422</v>
      </c>
      <c r="R37" t="s">
        <v>858</v>
      </c>
      <c r="S37" s="2">
        <v>-519842</v>
      </c>
      <c r="T37" s="2">
        <v>-485187</v>
      </c>
    </row>
    <row r="38" spans="13:29">
      <c r="M38" t="s">
        <v>859</v>
      </c>
      <c r="N38" s="2">
        <v>148063</v>
      </c>
      <c r="O38" s="2">
        <v>148063</v>
      </c>
      <c r="R38" t="s">
        <v>860</v>
      </c>
      <c r="S38" s="2">
        <v>3078055</v>
      </c>
      <c r="T38" s="2">
        <v>3025168</v>
      </c>
    </row>
    <row r="39" spans="13:29">
      <c r="M39" t="s">
        <v>861</v>
      </c>
      <c r="R39" t="s">
        <v>862</v>
      </c>
      <c r="S39" s="2">
        <v>-1324950</v>
      </c>
      <c r="T39" s="2">
        <v>-1386600</v>
      </c>
    </row>
    <row r="40" spans="13:29">
      <c r="M40" t="s">
        <v>863</v>
      </c>
      <c r="R40" t="s">
        <v>864</v>
      </c>
      <c r="S40" s="2">
        <v>123778</v>
      </c>
      <c r="T40" s="2">
        <v>114174</v>
      </c>
    </row>
    <row r="41" spans="13:29">
      <c r="M41" t="s">
        <v>865</v>
      </c>
      <c r="R41" t="s">
        <v>866</v>
      </c>
      <c r="S41" s="2">
        <v>-1201172</v>
      </c>
      <c r="T41" s="2">
        <v>-1272426</v>
      </c>
    </row>
    <row r="42" spans="13:29">
      <c r="M42" t="s">
        <v>867</v>
      </c>
      <c r="R42" t="s">
        <v>868</v>
      </c>
      <c r="S42" s="2">
        <v>1876883</v>
      </c>
      <c r="T42" s="2">
        <v>1752742</v>
      </c>
    </row>
    <row r="43" spans="13:29">
      <c r="M43" t="s">
        <v>869</v>
      </c>
      <c r="R43" t="s">
        <v>870</v>
      </c>
    </row>
    <row r="44" spans="13:29">
      <c r="M44" t="s">
        <v>871</v>
      </c>
      <c r="N44" s="2">
        <v>3509067</v>
      </c>
      <c r="O44" s="2">
        <v>3087596</v>
      </c>
      <c r="R44" t="s">
        <v>872</v>
      </c>
    </row>
    <row r="45" spans="13:29">
      <c r="M45" t="s">
        <v>873</v>
      </c>
      <c r="R45" t="s">
        <v>874</v>
      </c>
      <c r="S45" s="2">
        <v>103558</v>
      </c>
      <c r="T45" s="2">
        <v>103558</v>
      </c>
    </row>
    <row r="46" spans="13:29">
      <c r="M46" t="s">
        <v>875</v>
      </c>
      <c r="N46" s="2">
        <v>30642</v>
      </c>
      <c r="O46" s="2">
        <v>4799</v>
      </c>
      <c r="R46" t="s">
        <v>876</v>
      </c>
      <c r="S46" s="2">
        <v>444922</v>
      </c>
      <c r="T46" s="2">
        <v>444922</v>
      </c>
    </row>
    <row r="47" spans="13:29">
      <c r="M47" t="s">
        <v>877</v>
      </c>
      <c r="N47" s="2">
        <v>982218</v>
      </c>
      <c r="O47" s="2">
        <v>816758</v>
      </c>
      <c r="R47" t="s">
        <v>878</v>
      </c>
      <c r="S47" s="2">
        <v>990350</v>
      </c>
      <c r="T47" s="2">
        <v>963567</v>
      </c>
    </row>
    <row r="48" spans="13:29">
      <c r="M48" t="s">
        <v>879</v>
      </c>
      <c r="N48">
        <v>787.475</v>
      </c>
      <c r="O48">
        <v>829.969</v>
      </c>
      <c r="R48" t="s">
        <v>880</v>
      </c>
      <c r="S48" s="2">
        <v>57199</v>
      </c>
      <c r="T48" s="2">
        <v>-58845</v>
      </c>
    </row>
    <row r="49" spans="13:29">
      <c r="M49" t="s">
        <v>881</v>
      </c>
      <c r="N49">
        <v>183.39</v>
      </c>
      <c r="O49">
        <v>115.004</v>
      </c>
      <c r="R49" t="s">
        <v>882</v>
      </c>
      <c r="S49" s="2">
        <v>1596029</v>
      </c>
      <c r="T49" s="2">
        <v>1453202</v>
      </c>
    </row>
    <row r="50" spans="13:29">
      <c r="M50" t="s">
        <v>883</v>
      </c>
      <c r="R50" t="s">
        <v>884</v>
      </c>
      <c r="S50" s="2">
        <v>5600680</v>
      </c>
      <c r="T50" s="2">
        <v>4965832</v>
      </c>
    </row>
    <row r="51" spans="13:29">
      <c r="M51" t="s">
        <v>885</v>
      </c>
      <c r="N51">
        <v>35.962</v>
      </c>
      <c r="O51">
        <v>34.197</v>
      </c>
    </row>
    <row r="52" spans="13:29">
      <c r="M52" t="s">
        <v>886</v>
      </c>
    </row>
    <row r="53" spans="13:29">
      <c r="M53" t="s">
        <v>887</v>
      </c>
      <c r="N53" s="2">
        <v>25625</v>
      </c>
      <c r="O53" s="2">
        <v>28882</v>
      </c>
    </row>
    <row r="54" spans="13:29">
      <c r="M54" t="s">
        <v>888</v>
      </c>
    </row>
    <row r="55" spans="13:29">
      <c r="M55" t="s">
        <v>889</v>
      </c>
      <c r="N55" s="2">
        <v>6323</v>
      </c>
      <c r="O55" s="2">
        <v>8473</v>
      </c>
    </row>
    <row r="56" spans="13:29">
      <c r="M56" t="s">
        <v>890</v>
      </c>
      <c r="N56" s="2">
        <v>39978</v>
      </c>
      <c r="O56" s="2">
        <v>40154</v>
      </c>
    </row>
    <row r="57" spans="13:29">
      <c r="M57" t="s">
        <v>891</v>
      </c>
      <c r="N57" s="2">
        <v>2091613</v>
      </c>
      <c r="O57" s="2">
        <v>1878236</v>
      </c>
    </row>
    <row r="58" spans="13:29">
      <c r="M58" t="s">
        <v>892</v>
      </c>
      <c r="N58" s="2">
        <v>5600680</v>
      </c>
      <c r="O58" s="2">
        <v>4965832</v>
      </c>
    </row>
    <row r="59" spans="13:29">
      <c r="M59" t="s">
        <v>893</v>
      </c>
    </row>
    <row r="62" spans="13:29">
      <c r="Q62" t="s">
        <v>894</v>
      </c>
    </row>
    <row r="63" spans="13:29">
      <c r="Q63" t="s">
        <v>830</v>
      </c>
      <c r="R63" t="s">
        <v>895</v>
      </c>
      <c r="S63" t="s">
        <v>832</v>
      </c>
    </row>
    <row r="64" spans="13:29">
      <c r="R64" s="69">
        <v>45777</v>
      </c>
      <c r="S64" s="69">
        <v>45657</v>
      </c>
    </row>
    <row r="65" spans="1:29">
      <c r="A65" t="s">
        <v>896</v>
      </c>
      <c r="E65" t="s">
        <v>897</v>
      </c>
      <c r="I65" t="s">
        <v>898</v>
      </c>
      <c r="Q65" t="s">
        <v>899</v>
      </c>
    </row>
    <row r="66" spans="1:29">
      <c r="A66" t="s">
        <v>830</v>
      </c>
      <c r="B66" t="s">
        <v>831</v>
      </c>
      <c r="C66" t="s">
        <v>832</v>
      </c>
      <c r="E66" t="s">
        <v>830</v>
      </c>
      <c r="F66" t="s">
        <v>900</v>
      </c>
      <c r="G66" t="s">
        <v>901</v>
      </c>
      <c r="I66" t="s">
        <v>830</v>
      </c>
      <c r="J66" t="s">
        <v>900</v>
      </c>
      <c r="K66" t="s">
        <v>901</v>
      </c>
      <c r="Q66" t="s">
        <v>838</v>
      </c>
    </row>
    <row r="67" spans="1:29">
      <c r="A67" t="s">
        <v>902</v>
      </c>
      <c r="E67" t="s">
        <v>903</v>
      </c>
      <c r="I67" t="s">
        <v>903</v>
      </c>
      <c r="Q67" t="s">
        <v>840</v>
      </c>
      <c r="R67" s="2">
        <v>50384</v>
      </c>
      <c r="S67" s="2">
        <v>75964</v>
      </c>
    </row>
    <row r="68" spans="1:29">
      <c r="A68" t="s">
        <v>904</v>
      </c>
      <c r="B68" t="s">
        <v>905</v>
      </c>
      <c r="C68" s="2">
        <v>4280698</v>
      </c>
      <c r="E68" t="s">
        <v>906</v>
      </c>
      <c r="I68" t="s">
        <v>906</v>
      </c>
      <c r="Q68" t="s">
        <v>842</v>
      </c>
    </row>
    <row r="69" spans="1:29">
      <c r="A69" t="s">
        <v>907</v>
      </c>
      <c r="B69" s="2">
        <v>-3887279</v>
      </c>
      <c r="C69" s="2">
        <v>-3165141</v>
      </c>
      <c r="E69" t="s">
        <v>744</v>
      </c>
      <c r="F69" s="2">
        <v>30364</v>
      </c>
      <c r="G69" s="2">
        <v>21035</v>
      </c>
      <c r="I69" t="s">
        <v>744</v>
      </c>
      <c r="J69" s="2">
        <v>30364</v>
      </c>
      <c r="K69" s="2">
        <v>21035</v>
      </c>
      <c r="Q69" t="s">
        <v>844</v>
      </c>
      <c r="R69" s="2">
        <v>295068</v>
      </c>
      <c r="S69" s="2">
        <v>257916</v>
      </c>
    </row>
    <row r="70" spans="1:29">
      <c r="A70" t="s">
        <v>908</v>
      </c>
      <c r="B70">
        <v>902.69</v>
      </c>
      <c r="C70" s="2">
        <v>1115557</v>
      </c>
      <c r="E70" t="s">
        <v>747</v>
      </c>
      <c r="I70" t="s">
        <v>747</v>
      </c>
      <c r="Q70" t="s">
        <v>846</v>
      </c>
      <c r="R70">
        <v>591</v>
      </c>
      <c r="S70">
        <v>170</v>
      </c>
    </row>
    <row r="71" spans="1:29">
      <c r="A71" t="s">
        <v>909</v>
      </c>
      <c r="E71" t="s">
        <v>910</v>
      </c>
      <c r="F71" s="2">
        <v>30364</v>
      </c>
      <c r="G71" s="2">
        <v>21035</v>
      </c>
      <c r="I71" t="s">
        <v>910</v>
      </c>
      <c r="J71" s="2">
        <v>30364</v>
      </c>
      <c r="K71" s="2">
        <v>21035</v>
      </c>
      <c r="Q71" t="s">
        <v>848</v>
      </c>
      <c r="R71" s="2">
        <v>25452</v>
      </c>
      <c r="S71" s="2">
        <v>19802</v>
      </c>
    </row>
    <row r="72" spans="1:29">
      <c r="A72" t="s">
        <v>911</v>
      </c>
      <c r="B72">
        <v>61</v>
      </c>
      <c r="C72">
        <v>89.266</v>
      </c>
      <c r="E72" t="s">
        <v>750</v>
      </c>
      <c r="F72" s="2">
        <v>10044</v>
      </c>
      <c r="G72" s="2">
        <v>7340</v>
      </c>
      <c r="I72" t="s">
        <v>750</v>
      </c>
      <c r="J72" s="2">
        <v>10044</v>
      </c>
      <c r="K72" s="2">
        <v>7340</v>
      </c>
      <c r="Q72" t="s">
        <v>850</v>
      </c>
      <c r="R72" s="2">
        <v>371495</v>
      </c>
      <c r="S72" s="2">
        <v>353993</v>
      </c>
    </row>
    <row r="73" spans="1:29">
      <c r="A73" t="s">
        <v>912</v>
      </c>
      <c r="B73" s="2">
        <v>33121</v>
      </c>
      <c r="C73" s="2">
        <v>47256</v>
      </c>
      <c r="E73" t="s">
        <v>913</v>
      </c>
      <c r="F73" s="2">
        <v>20320</v>
      </c>
      <c r="G73" s="2">
        <v>13695</v>
      </c>
      <c r="I73" t="s">
        <v>913</v>
      </c>
      <c r="J73" s="2">
        <v>20320</v>
      </c>
      <c r="K73" s="2">
        <v>13695</v>
      </c>
      <c r="Q73" t="s">
        <v>852</v>
      </c>
    </row>
    <row r="74" spans="1:29">
      <c r="A74" t="s">
        <v>914</v>
      </c>
      <c r="B74" s="2">
        <v>458348</v>
      </c>
      <c r="C74" s="2">
        <v>351000</v>
      </c>
      <c r="E74" t="s">
        <v>915</v>
      </c>
      <c r="I74" t="s">
        <v>915</v>
      </c>
      <c r="Q74" t="s">
        <v>854</v>
      </c>
      <c r="R74" s="2">
        <v>1095407</v>
      </c>
      <c r="S74" s="2">
        <v>1006505</v>
      </c>
    </row>
    <row r="75" spans="1:29">
      <c r="A75" t="s">
        <v>916</v>
      </c>
      <c r="B75">
        <v>865</v>
      </c>
      <c r="C75">
        <v>916</v>
      </c>
      <c r="E75" t="s">
        <v>754</v>
      </c>
      <c r="F75" s="2">
        <v>20189</v>
      </c>
      <c r="G75" s="2">
        <v>23859</v>
      </c>
      <c r="I75" t="s">
        <v>754</v>
      </c>
      <c r="J75" s="2">
        <v>20189</v>
      </c>
      <c r="K75" s="2">
        <v>23859</v>
      </c>
      <c r="Q75" t="s">
        <v>856</v>
      </c>
    </row>
    <row r="76" spans="1:29">
      <c r="A76" t="s">
        <v>917</v>
      </c>
      <c r="E76" t="s">
        <v>756</v>
      </c>
      <c r="I76" t="s">
        <v>756</v>
      </c>
      <c r="Q76" t="s">
        <v>858</v>
      </c>
      <c r="R76" s="2">
        <v>694718</v>
      </c>
      <c r="S76" s="2">
        <v>722989</v>
      </c>
    </row>
    <row r="77" spans="1:29">
      <c r="A77" t="s">
        <v>918</v>
      </c>
      <c r="B77" s="2">
        <v>553335</v>
      </c>
      <c r="C77">
        <v>488.438</v>
      </c>
      <c r="E77" t="s">
        <v>919</v>
      </c>
      <c r="F77" s="2">
        <v>20189</v>
      </c>
      <c r="G77" s="2">
        <v>23859</v>
      </c>
      <c r="I77" t="s">
        <v>919</v>
      </c>
      <c r="J77" s="2">
        <v>20189</v>
      </c>
      <c r="K77" s="2">
        <v>23859</v>
      </c>
      <c r="Q77" t="s">
        <v>860</v>
      </c>
      <c r="R77" s="2">
        <v>22639</v>
      </c>
      <c r="S77" s="2">
        <v>-6280</v>
      </c>
    </row>
    <row r="78" spans="1:29">
      <c r="A78" t="s">
        <v>920</v>
      </c>
      <c r="B78">
        <v>349.356</v>
      </c>
      <c r="C78" s="2">
        <v>627119</v>
      </c>
      <c r="E78" t="s">
        <v>921</v>
      </c>
      <c r="F78">
        <v>131</v>
      </c>
      <c r="G78" s="2">
        <v>-10164</v>
      </c>
      <c r="I78" t="s">
        <v>921</v>
      </c>
      <c r="J78">
        <v>131</v>
      </c>
      <c r="K78" s="2">
        <v>-10164</v>
      </c>
      <c r="Q78" t="s">
        <v>862</v>
      </c>
      <c r="R78" s="2">
        <v>316385</v>
      </c>
      <c r="S78" s="2">
        <v>287073</v>
      </c>
    </row>
    <row r="79" spans="1:29">
      <c r="A79" t="s">
        <v>922</v>
      </c>
      <c r="B79">
        <v>163.14</v>
      </c>
      <c r="C79">
        <v>228.39</v>
      </c>
      <c r="E79" t="s">
        <v>923</v>
      </c>
      <c r="I79" t="s">
        <v>923</v>
      </c>
      <c r="Q79" t="s">
        <v>864</v>
      </c>
      <c r="R79" s="2">
        <v>-23487</v>
      </c>
      <c r="S79" s="2">
        <v>14929</v>
      </c>
    </row>
    <row r="80" spans="1:29">
      <c r="A80" t="s">
        <v>924</v>
      </c>
      <c r="E80" t="s">
        <v>761</v>
      </c>
      <c r="F80">
        <v>389</v>
      </c>
      <c r="G80" s="2">
        <v>1803</v>
      </c>
      <c r="I80" t="s">
        <v>761</v>
      </c>
      <c r="J80">
        <v>389</v>
      </c>
      <c r="K80" s="2">
        <v>1803</v>
      </c>
      <c r="Q80" t="s">
        <v>866</v>
      </c>
      <c r="R80" s="2">
        <v>1002810</v>
      </c>
      <c r="S80" s="2">
        <v>1115557</v>
      </c>
    </row>
    <row r="81" spans="1:29">
      <c r="A81" t="s">
        <v>925</v>
      </c>
      <c r="B81">
        <v>113.82</v>
      </c>
      <c r="C81">
        <v>128.82</v>
      </c>
      <c r="E81" t="s">
        <v>762</v>
      </c>
      <c r="F81" s="2">
        <v>7852</v>
      </c>
      <c r="G81" s="2">
        <v>27808</v>
      </c>
      <c r="I81" t="s">
        <v>762</v>
      </c>
      <c r="J81" s="2">
        <v>7852</v>
      </c>
      <c r="K81" s="2">
        <v>27808</v>
      </c>
      <c r="Q81" t="s">
        <v>868</v>
      </c>
      <c r="R81" s="2">
        <v>3251199</v>
      </c>
      <c r="S81" s="2">
        <v>3158637</v>
      </c>
    </row>
    <row r="82" spans="1:29">
      <c r="A82" t="s">
        <v>926</v>
      </c>
      <c r="B82">
        <v>131.21</v>
      </c>
      <c r="C82">
        <v>132.18</v>
      </c>
      <c r="E82" t="s">
        <v>927</v>
      </c>
      <c r="I82" t="s">
        <v>927</v>
      </c>
      <c r="Q82" t="s">
        <v>928</v>
      </c>
    </row>
    <row r="83" spans="1:29">
      <c r="A83" t="s">
        <v>929</v>
      </c>
      <c r="B83">
        <v>9.28</v>
      </c>
      <c r="C83">
        <v>8.69</v>
      </c>
      <c r="E83" t="s">
        <v>930</v>
      </c>
      <c r="F83" s="2">
        <v>8241</v>
      </c>
      <c r="G83" s="2">
        <v>29611</v>
      </c>
      <c r="I83" t="s">
        <v>930</v>
      </c>
      <c r="J83" s="2">
        <v>8241</v>
      </c>
      <c r="K83" s="2">
        <v>29611</v>
      </c>
      <c r="Q83" t="s">
        <v>872</v>
      </c>
    </row>
    <row r="84" spans="1:29">
      <c r="A84" t="s">
        <v>931</v>
      </c>
      <c r="B84">
        <v>144.17</v>
      </c>
      <c r="C84">
        <v>128.97</v>
      </c>
      <c r="E84" t="s">
        <v>932</v>
      </c>
      <c r="F84" s="2">
        <v>8372</v>
      </c>
      <c r="G84" s="2">
        <v>19447</v>
      </c>
      <c r="I84" t="s">
        <v>932</v>
      </c>
      <c r="J84" s="2">
        <v>8372</v>
      </c>
      <c r="K84" s="2">
        <v>19447</v>
      </c>
      <c r="Q84" t="s">
        <v>874</v>
      </c>
      <c r="R84" s="2">
        <v>103558</v>
      </c>
      <c r="S84" s="2">
        <v>103558</v>
      </c>
    </row>
    <row r="85" spans="1:29">
      <c r="E85" t="s">
        <v>933</v>
      </c>
      <c r="F85">
        <v>10</v>
      </c>
      <c r="I85" t="s">
        <v>933</v>
      </c>
      <c r="J85">
        <v>10</v>
      </c>
      <c r="Q85" t="s">
        <v>876</v>
      </c>
      <c r="R85" s="2">
        <v>444922</v>
      </c>
      <c r="S85" s="2">
        <v>444922</v>
      </c>
    </row>
    <row r="86" spans="1:29">
      <c r="E86" t="s">
        <v>934</v>
      </c>
      <c r="F86" s="2">
        <v>8382</v>
      </c>
      <c r="G86" s="2">
        <v>19447</v>
      </c>
      <c r="I86" t="s">
        <v>934</v>
      </c>
      <c r="J86" s="2">
        <v>8382</v>
      </c>
      <c r="K86" s="2">
        <v>19447</v>
      </c>
      <c r="Q86" t="s">
        <v>878</v>
      </c>
      <c r="R86" s="2">
        <v>1024224</v>
      </c>
      <c r="S86" s="2">
        <v>963567</v>
      </c>
    </row>
    <row r="87" spans="1:29">
      <c r="Q87" t="s">
        <v>880</v>
      </c>
      <c r="R87" s="2">
        <v>24499</v>
      </c>
      <c r="S87" s="2">
        <v>22707</v>
      </c>
    </row>
    <row r="88" spans="1:29">
      <c r="F88" t="s">
        <v>935</v>
      </c>
      <c r="J88" t="s">
        <v>936</v>
      </c>
      <c r="N88" t="s">
        <v>937</v>
      </c>
      <c r="Q88" t="s">
        <v>882</v>
      </c>
      <c r="R88" s="2">
        <v>1536427</v>
      </c>
      <c r="S88" s="2">
        <v>1453202</v>
      </c>
    </row>
    <row r="89" spans="1:29">
      <c r="F89" t="s">
        <v>830</v>
      </c>
      <c r="G89" t="s">
        <v>895</v>
      </c>
      <c r="H89" t="s">
        <v>832</v>
      </c>
      <c r="J89" t="s">
        <v>830</v>
      </c>
      <c r="K89" t="s">
        <v>895</v>
      </c>
      <c r="L89" t="s">
        <v>832</v>
      </c>
      <c r="N89" t="s">
        <v>830</v>
      </c>
      <c r="O89" t="s">
        <v>895</v>
      </c>
      <c r="P89" t="s">
        <v>832</v>
      </c>
      <c r="Q89" t="s">
        <v>884</v>
      </c>
      <c r="R89" s="2">
        <v>5159121</v>
      </c>
      <c r="S89" s="2">
        <v>4965832</v>
      </c>
    </row>
    <row r="90" spans="1:29">
      <c r="G90" s="69">
        <v>45777</v>
      </c>
      <c r="H90" s="69">
        <v>45657</v>
      </c>
      <c r="K90" s="69">
        <v>45777</v>
      </c>
      <c r="L90" s="69">
        <v>45657</v>
      </c>
      <c r="O90" s="69">
        <v>45777</v>
      </c>
      <c r="P90" s="69">
        <v>45657</v>
      </c>
    </row>
    <row r="91" spans="1:29">
      <c r="F91" t="s">
        <v>899</v>
      </c>
      <c r="J91" t="s">
        <v>899</v>
      </c>
      <c r="N91" t="s">
        <v>899</v>
      </c>
    </row>
    <row r="92" spans="1:29">
      <c r="F92" t="s">
        <v>838</v>
      </c>
      <c r="J92" t="s">
        <v>838</v>
      </c>
      <c r="N92" t="s">
        <v>838</v>
      </c>
    </row>
    <row r="93" spans="1:29">
      <c r="F93" t="s">
        <v>840</v>
      </c>
      <c r="G93" s="2">
        <v>50384</v>
      </c>
      <c r="H93" s="2">
        <v>75964</v>
      </c>
      <c r="J93" t="s">
        <v>840</v>
      </c>
      <c r="K93" s="2">
        <v>50384</v>
      </c>
      <c r="L93" s="2">
        <v>75964</v>
      </c>
      <c r="N93" t="s">
        <v>840</v>
      </c>
      <c r="O93" s="2">
        <v>50384</v>
      </c>
      <c r="P93" s="2">
        <v>75964</v>
      </c>
    </row>
    <row r="94" spans="1:29">
      <c r="F94" t="s">
        <v>842</v>
      </c>
      <c r="J94" t="s">
        <v>842</v>
      </c>
      <c r="N94" t="s">
        <v>842</v>
      </c>
    </row>
    <row r="95" spans="1:29">
      <c r="F95" t="s">
        <v>844</v>
      </c>
      <c r="G95" s="2">
        <v>295068</v>
      </c>
      <c r="H95" s="2">
        <v>257916</v>
      </c>
      <c r="J95" t="s">
        <v>844</v>
      </c>
      <c r="K95" s="2">
        <v>295068</v>
      </c>
      <c r="L95" s="2">
        <v>257916</v>
      </c>
      <c r="N95" t="s">
        <v>844</v>
      </c>
      <c r="O95" s="2">
        <v>295068</v>
      </c>
      <c r="P95" s="2">
        <v>257916</v>
      </c>
    </row>
    <row r="96" spans="1:29">
      <c r="F96" t="s">
        <v>846</v>
      </c>
      <c r="G96">
        <v>591</v>
      </c>
      <c r="H96">
        <v>170</v>
      </c>
      <c r="J96" t="s">
        <v>846</v>
      </c>
      <c r="K96">
        <v>591</v>
      </c>
      <c r="L96">
        <v>170</v>
      </c>
      <c r="N96" t="s">
        <v>846</v>
      </c>
      <c r="O96">
        <v>591</v>
      </c>
      <c r="P96">
        <v>170</v>
      </c>
    </row>
    <row r="97" spans="6:29">
      <c r="F97" t="s">
        <v>848</v>
      </c>
      <c r="G97" s="2">
        <v>25452</v>
      </c>
      <c r="H97" s="2">
        <v>19802</v>
      </c>
      <c r="J97" t="s">
        <v>848</v>
      </c>
      <c r="K97" s="2">
        <v>25452</v>
      </c>
      <c r="L97" s="2">
        <v>19802</v>
      </c>
      <c r="N97" t="s">
        <v>848</v>
      </c>
      <c r="O97" s="2">
        <v>25452</v>
      </c>
      <c r="P97" s="2">
        <v>19802</v>
      </c>
    </row>
    <row r="98" spans="6:29">
      <c r="F98" t="s">
        <v>850</v>
      </c>
      <c r="G98" s="2">
        <v>371495</v>
      </c>
      <c r="H98" s="2">
        <v>353993</v>
      </c>
      <c r="J98" t="s">
        <v>850</v>
      </c>
      <c r="K98" s="2">
        <v>371495</v>
      </c>
      <c r="L98" s="2">
        <v>353993</v>
      </c>
      <c r="N98" t="s">
        <v>850</v>
      </c>
      <c r="O98" s="2">
        <v>371495</v>
      </c>
      <c r="P98" s="2">
        <v>353993</v>
      </c>
    </row>
    <row r="99" spans="6:29">
      <c r="F99" t="s">
        <v>852</v>
      </c>
      <c r="J99" t="s">
        <v>852</v>
      </c>
      <c r="N99" t="s">
        <v>852</v>
      </c>
    </row>
    <row r="100" spans="6:29">
      <c r="F100" t="s">
        <v>854</v>
      </c>
      <c r="G100" s="2">
        <v>1095407</v>
      </c>
      <c r="H100" s="2">
        <v>1006505</v>
      </c>
      <c r="J100" t="s">
        <v>854</v>
      </c>
      <c r="K100" s="2">
        <v>1095407</v>
      </c>
      <c r="L100" s="2">
        <v>1006505</v>
      </c>
      <c r="N100" t="s">
        <v>854</v>
      </c>
      <c r="O100" s="2">
        <v>1095407</v>
      </c>
      <c r="P100" s="2">
        <v>1006505</v>
      </c>
    </row>
    <row r="101" spans="6:29">
      <c r="F101" t="s">
        <v>856</v>
      </c>
      <c r="J101" t="s">
        <v>856</v>
      </c>
      <c r="N101" t="s">
        <v>856</v>
      </c>
    </row>
    <row r="102" spans="6:29">
      <c r="F102" t="s">
        <v>858</v>
      </c>
      <c r="G102" s="2">
        <v>694718</v>
      </c>
      <c r="H102" s="2">
        <v>722989</v>
      </c>
      <c r="J102" t="s">
        <v>858</v>
      </c>
      <c r="K102" s="2">
        <v>694718</v>
      </c>
      <c r="L102" s="2">
        <v>722989</v>
      </c>
      <c r="N102" t="s">
        <v>858</v>
      </c>
      <c r="O102" s="2">
        <v>694718</v>
      </c>
      <c r="P102" s="2">
        <v>722989</v>
      </c>
      <c r="R102" t="s">
        <v>938</v>
      </c>
    </row>
    <row r="103" spans="6:29">
      <c r="F103" t="s">
        <v>860</v>
      </c>
      <c r="G103" s="2">
        <v>22639</v>
      </c>
      <c r="H103" s="2">
        <v>-6280</v>
      </c>
      <c r="J103" t="s">
        <v>860</v>
      </c>
      <c r="K103" s="2">
        <v>22639</v>
      </c>
      <c r="L103" s="2">
        <v>-6280</v>
      </c>
      <c r="N103" t="s">
        <v>860</v>
      </c>
      <c r="O103" s="2">
        <v>22639</v>
      </c>
      <c r="P103" s="2">
        <v>-6280</v>
      </c>
      <c r="R103" t="s">
        <v>830</v>
      </c>
      <c r="S103" t="s">
        <v>895</v>
      </c>
      <c r="T103" t="s">
        <v>832</v>
      </c>
    </row>
    <row r="104" spans="6:29">
      <c r="F104" t="s">
        <v>862</v>
      </c>
      <c r="G104" s="2">
        <v>316385</v>
      </c>
      <c r="H104" s="2">
        <v>287073</v>
      </c>
      <c r="J104" t="s">
        <v>862</v>
      </c>
      <c r="K104" s="2">
        <v>316385</v>
      </c>
      <c r="L104" s="2">
        <v>287073</v>
      </c>
      <c r="N104" t="s">
        <v>862</v>
      </c>
      <c r="O104" s="2">
        <v>316385</v>
      </c>
      <c r="P104" s="2">
        <v>287073</v>
      </c>
      <c r="S104" s="69">
        <v>45777</v>
      </c>
      <c r="T104" s="69">
        <v>45657</v>
      </c>
    </row>
    <row r="105" spans="6:29">
      <c r="F105" t="s">
        <v>864</v>
      </c>
      <c r="G105" s="2">
        <v>-23487</v>
      </c>
      <c r="H105" s="2">
        <v>14929</v>
      </c>
      <c r="J105" t="s">
        <v>864</v>
      </c>
      <c r="K105" s="2">
        <v>-23487</v>
      </c>
      <c r="L105" s="2">
        <v>14929</v>
      </c>
      <c r="N105" t="s">
        <v>864</v>
      </c>
      <c r="O105" s="2">
        <v>-23487</v>
      </c>
      <c r="P105" s="2">
        <v>14929</v>
      </c>
      <c r="R105" t="s">
        <v>899</v>
      </c>
    </row>
    <row r="106" spans="6:29">
      <c r="F106" t="s">
        <v>866</v>
      </c>
      <c r="G106" s="2">
        <v>1002810</v>
      </c>
      <c r="H106" s="2">
        <v>1115557</v>
      </c>
      <c r="J106" t="s">
        <v>866</v>
      </c>
      <c r="K106" s="2">
        <v>1002810</v>
      </c>
      <c r="L106" s="2">
        <v>1115557</v>
      </c>
      <c r="N106" t="s">
        <v>866</v>
      </c>
      <c r="O106" s="2">
        <v>1002810</v>
      </c>
      <c r="P106" s="2">
        <v>1115557</v>
      </c>
      <c r="R106" t="s">
        <v>838</v>
      </c>
    </row>
    <row r="107" spans="6:29">
      <c r="F107" t="s">
        <v>868</v>
      </c>
      <c r="G107" s="2">
        <v>3251199</v>
      </c>
      <c r="H107" s="2">
        <v>3158637</v>
      </c>
      <c r="J107" t="s">
        <v>868</v>
      </c>
      <c r="K107" s="2">
        <v>3251199</v>
      </c>
      <c r="L107" s="2">
        <v>3158637</v>
      </c>
      <c r="N107" t="s">
        <v>868</v>
      </c>
      <c r="O107" s="2">
        <v>3251199</v>
      </c>
      <c r="P107" s="2">
        <v>3158637</v>
      </c>
      <c r="R107" t="s">
        <v>840</v>
      </c>
      <c r="S107" s="2">
        <v>50384</v>
      </c>
      <c r="T107" s="2">
        <v>75964</v>
      </c>
    </row>
    <row r="108" spans="6:29">
      <c r="F108" t="s">
        <v>928</v>
      </c>
      <c r="J108" t="s">
        <v>928</v>
      </c>
      <c r="N108" t="s">
        <v>928</v>
      </c>
      <c r="R108" t="s">
        <v>842</v>
      </c>
    </row>
    <row r="109" spans="6:29">
      <c r="F109" t="s">
        <v>872</v>
      </c>
      <c r="J109" t="s">
        <v>872</v>
      </c>
      <c r="N109" t="s">
        <v>872</v>
      </c>
      <c r="R109" t="s">
        <v>844</v>
      </c>
      <c r="S109" s="2">
        <v>295068</v>
      </c>
      <c r="T109" s="2">
        <v>257916</v>
      </c>
    </row>
    <row r="110" spans="6:29">
      <c r="F110" t="s">
        <v>874</v>
      </c>
      <c r="G110" s="2">
        <v>103558</v>
      </c>
      <c r="H110" s="2">
        <v>103558</v>
      </c>
      <c r="J110" t="s">
        <v>874</v>
      </c>
      <c r="K110" s="2">
        <v>103558</v>
      </c>
      <c r="L110" s="2">
        <v>103558</v>
      </c>
      <c r="N110" t="s">
        <v>874</v>
      </c>
      <c r="O110" s="2">
        <v>103558</v>
      </c>
      <c r="P110" s="2">
        <v>103558</v>
      </c>
      <c r="R110" t="s">
        <v>846</v>
      </c>
      <c r="S110">
        <v>591</v>
      </c>
      <c r="T110">
        <v>170</v>
      </c>
    </row>
    <row r="111" spans="6:29">
      <c r="F111" t="s">
        <v>876</v>
      </c>
      <c r="G111" s="2">
        <v>444922</v>
      </c>
      <c r="H111" s="2">
        <v>444922</v>
      </c>
      <c r="J111" t="s">
        <v>876</v>
      </c>
      <c r="K111" s="2">
        <v>444922</v>
      </c>
      <c r="L111" s="2">
        <v>444922</v>
      </c>
      <c r="N111" t="s">
        <v>876</v>
      </c>
      <c r="O111" s="2">
        <v>444922</v>
      </c>
      <c r="P111" s="2">
        <v>444922</v>
      </c>
      <c r="R111" t="s">
        <v>848</v>
      </c>
      <c r="S111" s="2">
        <v>25452</v>
      </c>
      <c r="T111" s="2">
        <v>19802</v>
      </c>
    </row>
    <row r="112" spans="6:29">
      <c r="F112" t="s">
        <v>878</v>
      </c>
      <c r="G112" s="2">
        <v>1024224</v>
      </c>
      <c r="H112" s="2">
        <v>963567</v>
      </c>
      <c r="J112" t="s">
        <v>878</v>
      </c>
      <c r="K112" s="2">
        <v>1024224</v>
      </c>
      <c r="L112" s="2">
        <v>963567</v>
      </c>
      <c r="N112" t="s">
        <v>878</v>
      </c>
      <c r="O112" s="2">
        <v>1024224</v>
      </c>
      <c r="P112" s="2">
        <v>963567</v>
      </c>
      <c r="R112" t="s">
        <v>850</v>
      </c>
      <c r="S112" s="2">
        <v>371495</v>
      </c>
      <c r="T112" s="2">
        <v>353993</v>
      </c>
    </row>
    <row r="113" spans="6:29">
      <c r="F113" t="s">
        <v>880</v>
      </c>
      <c r="G113" s="2">
        <v>24499</v>
      </c>
      <c r="H113" s="2">
        <v>22707</v>
      </c>
      <c r="J113" t="s">
        <v>880</v>
      </c>
      <c r="K113" s="2">
        <v>24499</v>
      </c>
      <c r="L113" s="2">
        <v>22707</v>
      </c>
      <c r="N113" t="s">
        <v>880</v>
      </c>
      <c r="O113" s="2">
        <v>24499</v>
      </c>
      <c r="P113" s="2">
        <v>22707</v>
      </c>
      <c r="R113" t="s">
        <v>852</v>
      </c>
    </row>
    <row r="114" spans="6:29">
      <c r="F114" t="s">
        <v>882</v>
      </c>
      <c r="G114" s="2">
        <v>1536427</v>
      </c>
      <c r="H114" s="2">
        <v>1453202</v>
      </c>
      <c r="J114" t="s">
        <v>882</v>
      </c>
      <c r="K114" s="2">
        <v>1536427</v>
      </c>
      <c r="L114" s="2">
        <v>1453202</v>
      </c>
      <c r="N114" t="s">
        <v>882</v>
      </c>
      <c r="O114" s="2">
        <v>1536427</v>
      </c>
      <c r="P114" s="2">
        <v>1453202</v>
      </c>
      <c r="R114" t="s">
        <v>854</v>
      </c>
      <c r="S114" s="2">
        <v>1095407</v>
      </c>
      <c r="T114" s="2">
        <v>1006505</v>
      </c>
    </row>
    <row r="115" spans="6:29">
      <c r="F115" t="s">
        <v>884</v>
      </c>
      <c r="G115" s="2">
        <v>5159121</v>
      </c>
      <c r="H115" s="2">
        <v>4965832</v>
      </c>
      <c r="J115" t="s">
        <v>884</v>
      </c>
      <c r="K115" s="2">
        <v>5159121</v>
      </c>
      <c r="L115" s="2">
        <v>4965832</v>
      </c>
      <c r="N115" t="s">
        <v>884</v>
      </c>
      <c r="O115" s="2">
        <v>5159121</v>
      </c>
      <c r="P115" s="2">
        <v>4965832</v>
      </c>
      <c r="R115" t="s">
        <v>856</v>
      </c>
    </row>
    <row r="116" spans="6:29">
      <c r="R116" t="s">
        <v>858</v>
      </c>
      <c r="S116" s="2">
        <v>694718</v>
      </c>
      <c r="T116" s="2">
        <v>722989</v>
      </c>
    </row>
    <row r="117" spans="6:29">
      <c r="R117" t="s">
        <v>860</v>
      </c>
      <c r="S117" s="2">
        <v>22639</v>
      </c>
      <c r="T117" s="2">
        <v>-6280</v>
      </c>
    </row>
    <row r="118" spans="6:29">
      <c r="R118" t="s">
        <v>862</v>
      </c>
      <c r="S118" s="2">
        <v>316385</v>
      </c>
      <c r="T118" s="2">
        <v>287073</v>
      </c>
    </row>
    <row r="119" spans="6:29">
      <c r="R119" t="s">
        <v>864</v>
      </c>
      <c r="S119" s="2">
        <v>-23487</v>
      </c>
      <c r="T119" s="2">
        <v>14929</v>
      </c>
    </row>
    <row r="120" spans="6:29">
      <c r="R120" t="s">
        <v>866</v>
      </c>
      <c r="S120" s="2">
        <v>1002810</v>
      </c>
      <c r="T120" s="2">
        <v>1115557</v>
      </c>
    </row>
    <row r="121" spans="6:29">
      <c r="R121" t="s">
        <v>868</v>
      </c>
      <c r="S121" s="2">
        <v>3251199</v>
      </c>
      <c r="T121" s="2">
        <v>3158637</v>
      </c>
    </row>
    <row r="122" spans="6:29">
      <c r="R122" t="s">
        <v>928</v>
      </c>
    </row>
    <row r="123" spans="6:29">
      <c r="R123" t="s">
        <v>872</v>
      </c>
    </row>
    <row r="124" spans="6:29">
      <c r="R124" t="s">
        <v>874</v>
      </c>
      <c r="S124" s="2">
        <v>103558</v>
      </c>
      <c r="T124" s="2">
        <v>103558</v>
      </c>
    </row>
    <row r="125" spans="6:29">
      <c r="R125" t="s">
        <v>876</v>
      </c>
      <c r="S125" s="2">
        <v>444922</v>
      </c>
      <c r="T125" s="2">
        <v>444922</v>
      </c>
    </row>
    <row r="126" spans="6:29">
      <c r="R126" t="s">
        <v>878</v>
      </c>
      <c r="S126" s="2">
        <v>1024224</v>
      </c>
      <c r="T126" s="2">
        <v>963567</v>
      </c>
    </row>
    <row r="127" spans="6:29">
      <c r="R127" t="s">
        <v>880</v>
      </c>
      <c r="S127" s="2">
        <v>24499</v>
      </c>
      <c r="T127" s="2">
        <v>22707</v>
      </c>
    </row>
    <row r="128" spans="6:29">
      <c r="R128" t="s">
        <v>882</v>
      </c>
      <c r="S128" s="2">
        <v>1536427</v>
      </c>
      <c r="T128" s="2">
        <v>1453202</v>
      </c>
    </row>
    <row r="129" spans="18:29">
      <c r="R129" t="s">
        <v>884</v>
      </c>
      <c r="S129" s="2">
        <v>5159121</v>
      </c>
      <c r="T129" s="2">
        <v>4965832</v>
      </c>
    </row>
    <row r="150" spans="1:29">
      <c r="A150" t="s">
        <v>939</v>
      </c>
    </row>
    <row r="151" spans="1:29">
      <c r="A151" t="s">
        <v>830</v>
      </c>
      <c r="B151" t="s">
        <v>895</v>
      </c>
      <c r="C151" t="s">
        <v>940</v>
      </c>
    </row>
    <row r="152" spans="1:29">
      <c r="B152" t="s">
        <v>941</v>
      </c>
      <c r="C152" s="69">
        <v>45412</v>
      </c>
    </row>
    <row r="153" spans="1:29">
      <c r="A153" t="s">
        <v>903</v>
      </c>
    </row>
    <row r="154" spans="1:29">
      <c r="A154" t="s">
        <v>906</v>
      </c>
    </row>
    <row r="155" spans="1:29">
      <c r="A155" t="s">
        <v>744</v>
      </c>
      <c r="B155" s="2">
        <v>50384</v>
      </c>
      <c r="C155" s="2">
        <v>75964</v>
      </c>
    </row>
    <row r="156" spans="1:29">
      <c r="A156" t="s">
        <v>747</v>
      </c>
      <c r="B156" s="2">
        <v>295068</v>
      </c>
      <c r="C156" s="2">
        <v>257916</v>
      </c>
    </row>
    <row r="157" spans="1:29">
      <c r="A157" t="s">
        <v>910</v>
      </c>
      <c r="B157" s="2">
        <v>371495</v>
      </c>
      <c r="C157" s="2">
        <v>353993</v>
      </c>
    </row>
    <row r="158" spans="1:29">
      <c r="A158" t="s">
        <v>750</v>
      </c>
      <c r="B158">
        <v>141</v>
      </c>
    </row>
    <row r="159" spans="1:29">
      <c r="A159" t="s">
        <v>913</v>
      </c>
      <c r="B159" s="2">
        <v>925458</v>
      </c>
      <c r="C159" s="2">
        <v>843779</v>
      </c>
    </row>
    <row r="160" spans="1:29">
      <c r="A160" t="s">
        <v>915</v>
      </c>
    </row>
    <row r="161" spans="1:29">
      <c r="A161" t="s">
        <v>754</v>
      </c>
      <c r="B161" s="2">
        <v>-418365</v>
      </c>
      <c r="C161" s="2">
        <v>-403271</v>
      </c>
    </row>
    <row r="162" spans="1:29">
      <c r="A162" t="s">
        <v>756</v>
      </c>
      <c r="B162" s="2">
        <v>51985</v>
      </c>
      <c r="C162" s="2">
        <v>28934</v>
      </c>
    </row>
    <row r="163" spans="1:29">
      <c r="A163" t="s">
        <v>919</v>
      </c>
      <c r="B163" s="2">
        <v>-366380</v>
      </c>
      <c r="C163" s="2">
        <v>-374337</v>
      </c>
    </row>
    <row r="164" spans="1:29">
      <c r="A164" t="s">
        <v>921</v>
      </c>
      <c r="B164" s="2">
        <v>559078</v>
      </c>
      <c r="C164" s="2">
        <v>469442</v>
      </c>
    </row>
    <row r="165" spans="1:29">
      <c r="A165" t="s">
        <v>942</v>
      </c>
    </row>
    <row r="166" spans="1:29">
      <c r="A166" t="s">
        <v>761</v>
      </c>
      <c r="B166" s="2">
        <v>22639</v>
      </c>
      <c r="C166" s="2">
        <v>-6280</v>
      </c>
    </row>
    <row r="167" spans="1:29">
      <c r="A167" t="s">
        <v>762</v>
      </c>
      <c r="B167" s="2">
        <v>-23487</v>
      </c>
      <c r="C167" s="2">
        <v>14929</v>
      </c>
    </row>
    <row r="168" spans="1:29">
      <c r="A168" t="s">
        <v>943</v>
      </c>
      <c r="B168">
        <v>-848</v>
      </c>
      <c r="C168" s="2">
        <v>8649</v>
      </c>
    </row>
    <row r="169" spans="1:29">
      <c r="A169" t="s">
        <v>930</v>
      </c>
    </row>
    <row r="170" spans="1:29">
      <c r="A170" t="s">
        <v>932</v>
      </c>
      <c r="B170" s="2">
        <v>558230</v>
      </c>
      <c r="C170" s="2">
        <v>478091</v>
      </c>
    </row>
    <row r="171" spans="1:29">
      <c r="A171" t="s">
        <v>933</v>
      </c>
    </row>
    <row r="172" spans="1:29">
      <c r="A172" t="s">
        <v>934</v>
      </c>
      <c r="B172" s="2">
        <v>558230</v>
      </c>
      <c r="C172" s="2">
        <v>478091</v>
      </c>
    </row>
    <row r="190" spans="1:29">
      <c r="A190" t="s">
        <v>944</v>
      </c>
    </row>
    <row r="191" spans="1:29">
      <c r="A191" t="s">
        <v>830</v>
      </c>
      <c r="B191" t="s">
        <v>900</v>
      </c>
    </row>
    <row r="192" spans="1:29">
      <c r="A192" t="s">
        <v>913</v>
      </c>
      <c r="B192">
        <v>43547</v>
      </c>
    </row>
    <row r="195" spans="1:29">
      <c r="A195" t="s">
        <v>945</v>
      </c>
    </row>
    <row r="196" spans="1:29">
      <c r="A196" t="s">
        <v>830</v>
      </c>
      <c r="B196" t="s">
        <v>900</v>
      </c>
    </row>
    <row r="197" spans="1:29">
      <c r="A197" t="s">
        <v>913</v>
      </c>
      <c r="B197">
        <v>43547</v>
      </c>
    </row>
    <row r="205" spans="1:29">
      <c r="A205" t="s">
        <v>946</v>
      </c>
    </row>
    <row r="206" spans="1:29">
      <c r="A206" t="s">
        <v>830</v>
      </c>
      <c r="B206" t="s">
        <v>895</v>
      </c>
      <c r="C206" t="s">
        <v>940</v>
      </c>
    </row>
    <row r="207" spans="1:29">
      <c r="B207" t="s">
        <v>941</v>
      </c>
      <c r="C207" s="69">
        <v>45412</v>
      </c>
    </row>
    <row r="208" spans="1:29">
      <c r="A208" t="s">
        <v>947</v>
      </c>
      <c r="B208" s="2">
        <v>78741</v>
      </c>
      <c r="C208" s="2">
        <v>63820</v>
      </c>
    </row>
    <row r="209" spans="1:29">
      <c r="A209" t="s">
        <v>948</v>
      </c>
    </row>
    <row r="210" spans="1:29">
      <c r="A210" t="s">
        <v>792</v>
      </c>
      <c r="B210">
        <v>269</v>
      </c>
      <c r="C210">
        <v>181</v>
      </c>
    </row>
    <row r="211" spans="1:29">
      <c r="A211" t="s">
        <v>794</v>
      </c>
    </row>
    <row r="212" spans="1:29">
      <c r="A212" t="s">
        <v>795</v>
      </c>
      <c r="B212" s="2">
        <v>6612</v>
      </c>
      <c r="C212" s="2">
        <v>6306</v>
      </c>
    </row>
    <row r="213" spans="1:29">
      <c r="A213" t="s">
        <v>796</v>
      </c>
    </row>
    <row r="214" spans="1:29">
      <c r="A214" t="s">
        <v>949</v>
      </c>
      <c r="B214" s="2">
        <v>31478</v>
      </c>
      <c r="C214" s="2">
        <v>29223</v>
      </c>
    </row>
    <row r="215" spans="1:29">
      <c r="A215" t="s">
        <v>798</v>
      </c>
    </row>
    <row r="216" spans="1:29">
      <c r="A216" t="s">
        <v>950</v>
      </c>
      <c r="B216" s="2">
        <v>52951</v>
      </c>
      <c r="C216" s="2">
        <v>30691</v>
      </c>
    </row>
    <row r="217" spans="1:29">
      <c r="A217" t="s">
        <v>951</v>
      </c>
      <c r="B217" s="2">
        <v>1280</v>
      </c>
      <c r="C217" s="2">
        <v>4429</v>
      </c>
    </row>
    <row r="218" spans="1:29">
      <c r="A218" t="s">
        <v>952</v>
      </c>
      <c r="B218" s="2">
        <v>54231</v>
      </c>
      <c r="C218" s="2">
        <v>35120</v>
      </c>
    </row>
    <row r="219" spans="1:29">
      <c r="A219" t="s">
        <v>953</v>
      </c>
      <c r="B219" s="2">
        <v>6426</v>
      </c>
      <c r="C219" s="2">
        <v>14812</v>
      </c>
    </row>
    <row r="220" spans="1:29">
      <c r="A220" t="s">
        <v>954</v>
      </c>
      <c r="B220" s="2">
        <v>60657</v>
      </c>
      <c r="C220" s="2">
        <v>49932</v>
      </c>
    </row>
    <row r="221" spans="1:29">
      <c r="A221" t="s">
        <v>955</v>
      </c>
      <c r="B221" s="2">
        <v>22569</v>
      </c>
      <c r="C221" s="2">
        <v>-37634</v>
      </c>
    </row>
    <row r="222" spans="1:29">
      <c r="A222" t="s">
        <v>956</v>
      </c>
      <c r="B222" s="2">
        <v>83226</v>
      </c>
      <c r="C222" s="2">
        <v>12298</v>
      </c>
    </row>
    <row r="223" spans="1:29">
      <c r="A223" t="s">
        <v>957</v>
      </c>
    </row>
    <row r="235" spans="1:29">
      <c r="A235" t="s">
        <v>958</v>
      </c>
    </row>
    <row r="236" spans="1:29">
      <c r="A236" t="s">
        <v>959</v>
      </c>
      <c r="B236" t="s">
        <v>960</v>
      </c>
    </row>
    <row r="237" spans="1:29">
      <c r="A237" t="s">
        <v>961</v>
      </c>
      <c r="B237" s="49">
        <v>0.24</v>
      </c>
    </row>
    <row r="238" spans="1:29">
      <c r="A238" t="s">
        <v>962</v>
      </c>
      <c r="B238" s="49">
        <v>0.18</v>
      </c>
    </row>
    <row r="239" spans="1:29">
      <c r="A239" t="s">
        <v>963</v>
      </c>
      <c r="B239" s="49">
        <v>0.15</v>
      </c>
    </row>
    <row r="240" spans="1:29">
      <c r="A240" t="s">
        <v>964</v>
      </c>
      <c r="B240" s="49">
        <v>0.11</v>
      </c>
    </row>
    <row r="250" spans="1:29">
      <c r="A250" t="s">
        <v>965</v>
      </c>
    </row>
    <row r="251" spans="1:29">
      <c r="A251" t="s">
        <v>959</v>
      </c>
      <c r="B251" t="s">
        <v>966</v>
      </c>
    </row>
    <row r="252" spans="1:29">
      <c r="A252" t="s">
        <v>967</v>
      </c>
      <c r="B252" t="s">
        <v>968</v>
      </c>
    </row>
    <row r="253" spans="1:29">
      <c r="A253" t="s">
        <v>969</v>
      </c>
      <c r="B253" t="s">
        <v>970</v>
      </c>
    </row>
    <row r="254" spans="1:29">
      <c r="A254" t="s">
        <v>971</v>
      </c>
      <c r="B254" t="s">
        <v>972</v>
      </c>
    </row>
    <row r="260" spans="1:29">
      <c r="A260" t="s">
        <v>973</v>
      </c>
    </row>
    <row r="261" spans="1:29">
      <c r="A261" t="s">
        <v>959</v>
      </c>
      <c r="B261" t="s">
        <v>974</v>
      </c>
    </row>
    <row r="262" spans="1:29">
      <c r="A262" t="s">
        <v>975</v>
      </c>
      <c r="B262" t="s">
        <v>976</v>
      </c>
    </row>
    <row r="265" spans="1:29">
      <c r="A265" t="s">
        <v>977</v>
      </c>
    </row>
    <row r="266" spans="1:29">
      <c r="A266" t="s">
        <v>959</v>
      </c>
      <c r="B266" t="s">
        <v>978</v>
      </c>
    </row>
    <row r="267" spans="1:29">
      <c r="A267" t="s">
        <v>979</v>
      </c>
      <c r="B267" t="s">
        <v>980</v>
      </c>
    </row>
    <row r="268" spans="1:29">
      <c r="A268" t="s">
        <v>981</v>
      </c>
      <c r="B268" t="s">
        <v>982</v>
      </c>
    </row>
    <row r="269" spans="1:29">
      <c r="A269" t="s">
        <v>981</v>
      </c>
      <c r="B269" t="s">
        <v>983</v>
      </c>
    </row>
    <row r="270" spans="1:29">
      <c r="A270" t="s">
        <v>984</v>
      </c>
    </row>
    <row r="280" spans="1:29">
      <c r="A280" t="s">
        <v>985</v>
      </c>
    </row>
    <row r="281" spans="1:29">
      <c r="A281" t="s">
        <v>986</v>
      </c>
      <c r="B281" t="s">
        <v>721</v>
      </c>
    </row>
    <row r="282" spans="1:29">
      <c r="A282" t="s">
        <v>987</v>
      </c>
    </row>
    <row r="283" spans="1:29">
      <c r="A283" t="s">
        <v>988</v>
      </c>
      <c r="B283" s="49">
        <v>0.09</v>
      </c>
    </row>
    <row r="284" spans="1:29">
      <c r="A284" t="s">
        <v>989</v>
      </c>
      <c r="B284" s="49">
        <v>0.08</v>
      </c>
    </row>
    <row r="285" spans="1:29">
      <c r="A285" t="s">
        <v>990</v>
      </c>
      <c r="B285" s="49">
        <v>0.07</v>
      </c>
    </row>
    <row r="286" spans="1:29">
      <c r="A286" t="s">
        <v>991</v>
      </c>
      <c r="B286" s="49">
        <v>0.06</v>
      </c>
    </row>
    <row r="287" spans="1:29">
      <c r="A287" t="s">
        <v>992</v>
      </c>
      <c r="B287" s="49">
        <v>0.05</v>
      </c>
    </row>
    <row r="288" spans="1:29">
      <c r="A288" t="s">
        <v>993</v>
      </c>
    </row>
    <row r="289" spans="1:29">
      <c r="A289" t="s">
        <v>994</v>
      </c>
    </row>
    <row r="300" spans="1:29">
      <c r="A300" t="s">
        <v>995</v>
      </c>
      <c r="F300" t="s">
        <v>996</v>
      </c>
      <c r="K300" t="s">
        <v>997</v>
      </c>
      <c r="N300" t="s">
        <v>998</v>
      </c>
      <c r="Q300" t="s">
        <v>999</v>
      </c>
    </row>
    <row r="301" spans="1:29">
      <c r="A301" t="s">
        <v>986</v>
      </c>
      <c r="B301" t="s">
        <v>721</v>
      </c>
      <c r="F301" t="s">
        <v>830</v>
      </c>
      <c r="G301" t="s">
        <v>900</v>
      </c>
      <c r="H301" t="s">
        <v>901</v>
      </c>
      <c r="K301" t="s">
        <v>1000</v>
      </c>
      <c r="L301" t="s">
        <v>1001</v>
      </c>
      <c r="N301" t="s">
        <v>1002</v>
      </c>
      <c r="O301" t="s">
        <v>1003</v>
      </c>
      <c r="Q301" t="s">
        <v>1004</v>
      </c>
      <c r="R301" t="s">
        <v>1003</v>
      </c>
    </row>
    <row r="302" spans="1:29">
      <c r="A302" t="s">
        <v>1005</v>
      </c>
      <c r="F302" t="s">
        <v>902</v>
      </c>
      <c r="K302" t="s">
        <v>1006</v>
      </c>
      <c r="N302" t="s">
        <v>1007</v>
      </c>
      <c r="Q302" t="s">
        <v>1008</v>
      </c>
    </row>
    <row r="303" spans="1:29">
      <c r="A303" t="s">
        <v>1009</v>
      </c>
      <c r="B303" s="49">
        <v>0.64</v>
      </c>
      <c r="F303" t="s">
        <v>904</v>
      </c>
      <c r="G303" s="2">
        <v>1096341.78</v>
      </c>
      <c r="H303" s="2">
        <v>965195.59</v>
      </c>
      <c r="K303" t="s">
        <v>1010</v>
      </c>
      <c r="N303" t="s">
        <v>1011</v>
      </c>
      <c r="O303" s="49">
        <v>0.1984</v>
      </c>
      <c r="Q303" t="s">
        <v>1012</v>
      </c>
      <c r="R303" t="s">
        <v>1013</v>
      </c>
    </row>
    <row r="304" spans="1:29">
      <c r="A304" t="s">
        <v>1014</v>
      </c>
      <c r="B304" s="49">
        <v>0.25</v>
      </c>
      <c r="F304" t="s">
        <v>1015</v>
      </c>
      <c r="G304" s="2">
        <v>291783.92</v>
      </c>
      <c r="H304" s="2">
        <v>266328.3</v>
      </c>
      <c r="K304" t="s">
        <v>1016</v>
      </c>
      <c r="L304" t="s">
        <v>1017</v>
      </c>
      <c r="N304" t="s">
        <v>1018</v>
      </c>
      <c r="O304" s="49">
        <v>0.1377</v>
      </c>
      <c r="Q304" t="s">
        <v>1019</v>
      </c>
    </row>
    <row r="305" spans="1:29">
      <c r="A305" t="s">
        <v>1020</v>
      </c>
      <c r="B305" s="49">
        <v>0.05</v>
      </c>
      <c r="F305" t="s">
        <v>908</v>
      </c>
      <c r="G305" s="2">
        <v>804557.86</v>
      </c>
      <c r="H305" s="2">
        <v>698867.29</v>
      </c>
      <c r="K305" t="s">
        <v>1021</v>
      </c>
      <c r="L305" t="s">
        <v>1022</v>
      </c>
      <c r="N305" t="s">
        <v>304</v>
      </c>
      <c r="O305" s="49">
        <v>0.0649</v>
      </c>
      <c r="Q305" t="s">
        <v>1023</v>
      </c>
      <c r="R305" s="49">
        <v>0.02</v>
      </c>
    </row>
    <row r="306" spans="1:29">
      <c r="A306" t="s">
        <v>1024</v>
      </c>
      <c r="B306" s="49">
        <v>0.06</v>
      </c>
      <c r="F306" t="s">
        <v>909</v>
      </c>
      <c r="K306" t="s">
        <v>1021</v>
      </c>
      <c r="L306" t="s">
        <v>1025</v>
      </c>
      <c r="N306" t="s">
        <v>310</v>
      </c>
      <c r="O306" s="49">
        <v>0.0622</v>
      </c>
      <c r="Q306" t="s">
        <v>710</v>
      </c>
      <c r="R306" s="49">
        <v>0.02</v>
      </c>
    </row>
    <row r="307" spans="1:29">
      <c r="F307" t="s">
        <v>911</v>
      </c>
      <c r="G307" s="2">
        <v>7482.69</v>
      </c>
      <c r="H307" s="2">
        <v>7680.97</v>
      </c>
      <c r="K307" t="s">
        <v>1026</v>
      </c>
      <c r="N307" t="s">
        <v>312</v>
      </c>
      <c r="O307" s="49">
        <v>0.0552</v>
      </c>
      <c r="Q307" t="s">
        <v>1027</v>
      </c>
      <c r="R307" s="49">
        <v>0.015</v>
      </c>
    </row>
    <row r="308" spans="1:29">
      <c r="F308" t="s">
        <v>912</v>
      </c>
      <c r="G308">
        <v>7.06</v>
      </c>
      <c r="K308" t="s">
        <v>1028</v>
      </c>
      <c r="L308" t="s">
        <v>1029</v>
      </c>
      <c r="N308" t="s">
        <v>315</v>
      </c>
      <c r="O308" s="49">
        <v>0.0408</v>
      </c>
      <c r="Q308" t="s">
        <v>1030</v>
      </c>
    </row>
    <row r="309" spans="1:29">
      <c r="F309" t="s">
        <v>914</v>
      </c>
      <c r="G309" s="2">
        <v>28588.46</v>
      </c>
      <c r="H309" s="2">
        <v>18706.28</v>
      </c>
      <c r="K309" t="s">
        <v>1031</v>
      </c>
      <c r="L309" t="s">
        <v>1032</v>
      </c>
      <c r="N309" t="s">
        <v>1033</v>
      </c>
      <c r="O309" s="49">
        <v>0.4408</v>
      </c>
      <c r="Q309" t="s">
        <v>1034</v>
      </c>
      <c r="R309" s="49">
        <v>0.38</v>
      </c>
    </row>
    <row r="310" spans="1:29">
      <c r="F310" t="s">
        <v>916</v>
      </c>
      <c r="G310" s="2">
        <v>30873.88</v>
      </c>
      <c r="H310" s="2">
        <v>25114.97</v>
      </c>
      <c r="K310" t="s">
        <v>1035</v>
      </c>
      <c r="L310" t="s">
        <v>1036</v>
      </c>
      <c r="Q310" t="s">
        <v>1037</v>
      </c>
      <c r="R310" s="49">
        <v>0.25</v>
      </c>
    </row>
    <row r="311" spans="1:29">
      <c r="F311" t="s">
        <v>917</v>
      </c>
      <c r="G311">
        <v>654.03</v>
      </c>
      <c r="H311">
        <v>628.1</v>
      </c>
      <c r="Q311" t="s">
        <v>1038</v>
      </c>
      <c r="R311" s="49">
        <v>0.085</v>
      </c>
    </row>
    <row r="312" spans="1:29">
      <c r="F312" t="s">
        <v>1039</v>
      </c>
      <c r="G312" s="2">
        <v>67606.11</v>
      </c>
      <c r="H312" s="2">
        <v>52130.32</v>
      </c>
      <c r="Q312" t="s">
        <v>1040</v>
      </c>
      <c r="R312" s="49">
        <v>0.07</v>
      </c>
    </row>
    <row r="313" spans="1:29">
      <c r="F313" t="s">
        <v>920</v>
      </c>
      <c r="G313" s="2">
        <v>736951.75</v>
      </c>
      <c r="H313" s="2">
        <v>646736.97</v>
      </c>
      <c r="Q313" t="s">
        <v>1041</v>
      </c>
      <c r="R313" s="49">
        <v>0.16</v>
      </c>
    </row>
    <row r="314" spans="1:29">
      <c r="F314" t="s">
        <v>1042</v>
      </c>
      <c r="G314" s="49">
        <v>11.9007</v>
      </c>
      <c r="H314" s="49">
        <v>13.4062</v>
      </c>
    </row>
    <row r="315" spans="1:29">
      <c r="F315" t="s">
        <v>1043</v>
      </c>
    </row>
    <row r="316" spans="1:29">
      <c r="F316" t="s">
        <v>925</v>
      </c>
      <c r="G316" s="49">
        <v>6.8401</v>
      </c>
      <c r="H316" s="49">
        <v>7.5725</v>
      </c>
    </row>
    <row r="317" spans="1:29">
      <c r="F317" t="s">
        <v>926</v>
      </c>
      <c r="G317" s="49">
        <v>3.6139</v>
      </c>
      <c r="H317" s="49">
        <v>3.6269</v>
      </c>
    </row>
    <row r="318" spans="1:29">
      <c r="F318" t="s">
        <v>1044</v>
      </c>
      <c r="G318" s="49">
        <v>0.2445</v>
      </c>
      <c r="H318" s="49">
        <v>0.1771</v>
      </c>
    </row>
    <row r="319" spans="1:29">
      <c r="F319" t="s">
        <v>931</v>
      </c>
      <c r="G319" s="49">
        <v>0.8555</v>
      </c>
      <c r="H319" s="49">
        <v>0.7882</v>
      </c>
    </row>
    <row r="350" spans="1:29">
      <c r="A350" t="s">
        <v>1045</v>
      </c>
      <c r="F350" t="s">
        <v>1046</v>
      </c>
    </row>
    <row r="351" spans="1:29">
      <c r="A351" t="s">
        <v>830</v>
      </c>
      <c r="B351" t="s">
        <v>900</v>
      </c>
      <c r="C351" t="s">
        <v>901</v>
      </c>
      <c r="F351" t="s">
        <v>830</v>
      </c>
      <c r="G351" t="s">
        <v>900</v>
      </c>
      <c r="H351" t="s">
        <v>901</v>
      </c>
    </row>
    <row r="352" spans="1:29">
      <c r="A352" t="s">
        <v>833</v>
      </c>
      <c r="F352" t="s">
        <v>899</v>
      </c>
    </row>
    <row r="353" spans="1:29">
      <c r="A353" t="s">
        <v>834</v>
      </c>
      <c r="B353" s="2">
        <v>112046</v>
      </c>
      <c r="C353" s="2">
        <v>263594</v>
      </c>
      <c r="F353" t="s">
        <v>1047</v>
      </c>
    </row>
    <row r="354" spans="1:29">
      <c r="A354" t="s">
        <v>836</v>
      </c>
      <c r="F354" t="s">
        <v>1048</v>
      </c>
      <c r="G354">
        <v>20</v>
      </c>
      <c r="H354">
        <v>104</v>
      </c>
    </row>
    <row r="355" spans="1:29">
      <c r="A355" t="s">
        <v>837</v>
      </c>
      <c r="B355" s="2">
        <v>23621</v>
      </c>
      <c r="F355" t="s">
        <v>842</v>
      </c>
    </row>
    <row r="356" spans="1:29">
      <c r="A356" t="s">
        <v>839</v>
      </c>
      <c r="B356" s="2">
        <v>58751</v>
      </c>
      <c r="F356" t="s">
        <v>844</v>
      </c>
      <c r="G356" s="2">
        <v>25748</v>
      </c>
      <c r="H356" s="2">
        <v>37817</v>
      </c>
    </row>
    <row r="357" spans="1:29">
      <c r="A357" t="s">
        <v>841</v>
      </c>
      <c r="F357" t="s">
        <v>846</v>
      </c>
    </row>
    <row r="358" spans="1:29">
      <c r="A358" t="s">
        <v>843</v>
      </c>
      <c r="B358" s="2">
        <v>448313</v>
      </c>
      <c r="C358" s="2">
        <v>457330</v>
      </c>
      <c r="F358" t="s">
        <v>848</v>
      </c>
      <c r="G358" s="2">
        <v>10872</v>
      </c>
      <c r="H358" s="2">
        <v>10016</v>
      </c>
    </row>
    <row r="359" spans="1:29">
      <c r="A359" t="s">
        <v>845</v>
      </c>
      <c r="F359" t="s">
        <v>1049</v>
      </c>
      <c r="G359" s="2">
        <v>25157</v>
      </c>
      <c r="H359" s="2">
        <v>25012</v>
      </c>
    </row>
    <row r="360" spans="1:29">
      <c r="A360" t="s">
        <v>1050</v>
      </c>
      <c r="F360" t="s">
        <v>852</v>
      </c>
      <c r="G360" s="2">
        <v>13585</v>
      </c>
      <c r="H360" s="2">
        <v>12464</v>
      </c>
    </row>
    <row r="361" spans="1:29">
      <c r="A361" t="s">
        <v>849</v>
      </c>
      <c r="F361" t="s">
        <v>854</v>
      </c>
      <c r="G361" s="2">
        <v>75381</v>
      </c>
      <c r="H361" s="2">
        <v>85414</v>
      </c>
    </row>
    <row r="362" spans="1:29">
      <c r="A362" t="s">
        <v>1051</v>
      </c>
      <c r="B362" s="2">
        <v>293651</v>
      </c>
      <c r="C362" s="2">
        <v>59031</v>
      </c>
      <c r="F362" t="s">
        <v>856</v>
      </c>
    </row>
    <row r="363" spans="1:29">
      <c r="A363" t="s">
        <v>853</v>
      </c>
      <c r="F363" t="s">
        <v>858</v>
      </c>
      <c r="G363" s="2">
        <v>21268</v>
      </c>
      <c r="H363" s="2">
        <v>15826</v>
      </c>
    </row>
    <row r="364" spans="1:29">
      <c r="A364" t="s">
        <v>1052</v>
      </c>
      <c r="F364" t="s">
        <v>1053</v>
      </c>
      <c r="G364" s="2">
        <v>174022</v>
      </c>
      <c r="H364" s="2">
        <v>141340</v>
      </c>
    </row>
    <row r="365" spans="1:29">
      <c r="A365" t="s">
        <v>857</v>
      </c>
      <c r="F365" t="s">
        <v>862</v>
      </c>
      <c r="G365" s="2">
        <v>21114</v>
      </c>
      <c r="H365" s="2">
        <v>23749</v>
      </c>
    </row>
    <row r="366" spans="1:29">
      <c r="A366" t="s">
        <v>859</v>
      </c>
      <c r="B366">
        <v>698</v>
      </c>
      <c r="C366" s="2">
        <v>1047</v>
      </c>
      <c r="F366" t="s">
        <v>864</v>
      </c>
    </row>
    <row r="367" spans="1:29">
      <c r="A367" t="s">
        <v>1054</v>
      </c>
      <c r="B367" s="2">
        <v>41606</v>
      </c>
      <c r="C367" s="2">
        <v>50569</v>
      </c>
      <c r="F367" t="s">
        <v>866</v>
      </c>
      <c r="G367" s="2">
        <v>216403</v>
      </c>
      <c r="H367" s="2">
        <v>180915</v>
      </c>
    </row>
    <row r="368" spans="1:29">
      <c r="A368" t="s">
        <v>1055</v>
      </c>
      <c r="F368" t="s">
        <v>868</v>
      </c>
      <c r="G368" s="2">
        <v>291784</v>
      </c>
      <c r="H368" s="2">
        <v>266328</v>
      </c>
    </row>
    <row r="369" spans="1:29">
      <c r="A369" t="s">
        <v>865</v>
      </c>
      <c r="F369" t="s">
        <v>870</v>
      </c>
    </row>
    <row r="370" spans="1:29">
      <c r="A370" t="s">
        <v>1056</v>
      </c>
      <c r="F370" t="s">
        <v>872</v>
      </c>
    </row>
    <row r="371" spans="1:29">
      <c r="A371" t="s">
        <v>1057</v>
      </c>
      <c r="F371" t="s">
        <v>874</v>
      </c>
      <c r="G371" s="2">
        <v>46140</v>
      </c>
      <c r="H371" s="2">
        <v>46293</v>
      </c>
    </row>
    <row r="372" spans="1:29">
      <c r="A372" t="s">
        <v>1058</v>
      </c>
      <c r="B372" s="2">
        <v>6000</v>
      </c>
      <c r="C372" s="2">
        <v>7129</v>
      </c>
      <c r="F372" t="s">
        <v>876</v>
      </c>
      <c r="G372" s="2">
        <v>6656</v>
      </c>
      <c r="H372" s="2">
        <v>8881</v>
      </c>
    </row>
    <row r="373" spans="1:29">
      <c r="A373" t="s">
        <v>1059</v>
      </c>
      <c r="B373" s="2">
        <v>961066</v>
      </c>
      <c r="C373" s="2">
        <v>862321</v>
      </c>
      <c r="F373" t="s">
        <v>878</v>
      </c>
      <c r="G373" s="2">
        <v>801495</v>
      </c>
      <c r="H373" s="2">
        <v>703334</v>
      </c>
    </row>
    <row r="374" spans="1:29">
      <c r="A374" t="s">
        <v>873</v>
      </c>
      <c r="F374" t="s">
        <v>880</v>
      </c>
    </row>
    <row r="375" spans="1:29">
      <c r="A375" t="s">
        <v>1060</v>
      </c>
      <c r="B375" s="2">
        <v>3924</v>
      </c>
      <c r="C375" s="2">
        <v>4720</v>
      </c>
      <c r="F375" t="s">
        <v>882</v>
      </c>
      <c r="G375" s="2">
        <v>854291</v>
      </c>
      <c r="H375" s="2">
        <v>758508</v>
      </c>
    </row>
    <row r="376" spans="1:29">
      <c r="A376" t="s">
        <v>1061</v>
      </c>
      <c r="F376" t="s">
        <v>884</v>
      </c>
      <c r="G376" s="2">
        <v>1146075</v>
      </c>
      <c r="H376" s="2">
        <v>1024836</v>
      </c>
    </row>
    <row r="377" spans="1:29">
      <c r="A377" t="s">
        <v>1062</v>
      </c>
      <c r="B377" s="2">
        <v>25945</v>
      </c>
      <c r="C377" s="2">
        <v>28718</v>
      </c>
    </row>
    <row r="378" spans="1:29">
      <c r="A378" t="s">
        <v>1063</v>
      </c>
      <c r="B378" s="2">
        <v>76222</v>
      </c>
      <c r="C378" s="2">
        <v>67462</v>
      </c>
    </row>
    <row r="379" spans="1:29">
      <c r="A379" t="s">
        <v>1064</v>
      </c>
    </row>
    <row r="380" spans="1:29">
      <c r="A380" t="s">
        <v>1065</v>
      </c>
      <c r="B380">
        <v>88</v>
      </c>
      <c r="C380" s="2">
        <v>2516</v>
      </c>
    </row>
    <row r="381" spans="1:29">
      <c r="A381" t="s">
        <v>1066</v>
      </c>
    </row>
    <row r="382" spans="1:29">
      <c r="A382" t="s">
        <v>1067</v>
      </c>
      <c r="B382" s="2">
        <v>5629</v>
      </c>
      <c r="C382" s="2">
        <v>5122</v>
      </c>
    </row>
    <row r="383" spans="1:29">
      <c r="A383" t="s">
        <v>1068</v>
      </c>
      <c r="B383" s="2">
        <v>29626</v>
      </c>
      <c r="C383" s="2">
        <v>7537</v>
      </c>
    </row>
    <row r="384" spans="1:29">
      <c r="A384" t="s">
        <v>1069</v>
      </c>
    </row>
    <row r="385" spans="1:29">
      <c r="A385" t="s">
        <v>1070</v>
      </c>
      <c r="B385" s="2">
        <v>1054</v>
      </c>
      <c r="C385">
        <v>974</v>
      </c>
    </row>
    <row r="386" spans="1:29">
      <c r="A386" t="s">
        <v>1071</v>
      </c>
      <c r="B386" s="2">
        <v>42522</v>
      </c>
      <c r="C386" s="2">
        <v>45467</v>
      </c>
    </row>
    <row r="387" spans="1:29">
      <c r="A387" t="s">
        <v>1072</v>
      </c>
      <c r="B387" s="2">
        <v>185009</v>
      </c>
      <c r="C387" s="2">
        <v>162516</v>
      </c>
    </row>
    <row r="388" spans="1:29">
      <c r="A388" t="s">
        <v>1073</v>
      </c>
      <c r="B388" s="2">
        <v>1146075</v>
      </c>
      <c r="C388" s="2">
        <v>1024836</v>
      </c>
    </row>
    <row r="392" spans="1:29">
      <c r="A392" t="s">
        <v>1074</v>
      </c>
    </row>
    <row r="393" spans="1:29">
      <c r="A393" t="s">
        <v>830</v>
      </c>
      <c r="B393" t="s">
        <v>900</v>
      </c>
      <c r="C393" t="s">
        <v>901</v>
      </c>
    </row>
    <row r="394" spans="1:29">
      <c r="A394" t="s">
        <v>903</v>
      </c>
    </row>
    <row r="395" spans="1:29">
      <c r="A395" t="s">
        <v>906</v>
      </c>
    </row>
    <row r="396" spans="1:29">
      <c r="A396" t="s">
        <v>744</v>
      </c>
    </row>
    <row r="397" spans="1:29">
      <c r="A397" t="s">
        <v>747</v>
      </c>
      <c r="B397" s="2">
        <v>272282</v>
      </c>
      <c r="C397" s="2">
        <v>249214</v>
      </c>
    </row>
    <row r="398" spans="1:29">
      <c r="A398" t="s">
        <v>910</v>
      </c>
      <c r="B398" s="2">
        <v>272282</v>
      </c>
      <c r="C398" s="2">
        <v>249214</v>
      </c>
    </row>
    <row r="399" spans="1:29">
      <c r="A399" t="s">
        <v>750</v>
      </c>
      <c r="B399" s="2">
        <v>93873</v>
      </c>
      <c r="C399" s="2">
        <v>86591</v>
      </c>
    </row>
    <row r="400" spans="1:29">
      <c r="A400" t="s">
        <v>913</v>
      </c>
      <c r="B400" s="2">
        <v>178409</v>
      </c>
      <c r="C400" s="2">
        <v>162622</v>
      </c>
    </row>
    <row r="401" spans="1:29">
      <c r="A401" t="s">
        <v>915</v>
      </c>
    </row>
    <row r="402" spans="1:29">
      <c r="A402" t="s">
        <v>754</v>
      </c>
      <c r="B402" s="2">
        <v>92079</v>
      </c>
      <c r="C402" s="2">
        <v>92841</v>
      </c>
    </row>
    <row r="403" spans="1:29">
      <c r="A403" t="s">
        <v>756</v>
      </c>
    </row>
    <row r="404" spans="1:29">
      <c r="A404" t="s">
        <v>919</v>
      </c>
      <c r="B404" s="2">
        <v>92079</v>
      </c>
      <c r="C404" s="2">
        <v>92841</v>
      </c>
    </row>
    <row r="405" spans="1:29">
      <c r="A405" t="s">
        <v>921</v>
      </c>
      <c r="B405" s="2">
        <v>86330</v>
      </c>
      <c r="C405" s="2">
        <v>69781</v>
      </c>
    </row>
    <row r="406" spans="1:29">
      <c r="A406" t="s">
        <v>923</v>
      </c>
    </row>
    <row r="407" spans="1:29">
      <c r="A407" t="s">
        <v>761</v>
      </c>
      <c r="B407" s="2">
        <v>-4930</v>
      </c>
      <c r="C407" s="2">
        <v>1276</v>
      </c>
    </row>
    <row r="408" spans="1:29">
      <c r="A408" t="s">
        <v>762</v>
      </c>
      <c r="B408" s="2">
        <v>-4295</v>
      </c>
      <c r="C408" s="2">
        <v>15395</v>
      </c>
    </row>
    <row r="409" spans="1:29">
      <c r="A409" t="s">
        <v>927</v>
      </c>
    </row>
    <row r="410" spans="1:29">
      <c r="A410" t="s">
        <v>930</v>
      </c>
      <c r="B410" s="2">
        <v>-9225</v>
      </c>
    </row>
    <row r="411" spans="1:29">
      <c r="A411" t="s">
        <v>932</v>
      </c>
      <c r="B411" s="2">
        <v>77105</v>
      </c>
      <c r="C411" s="2">
        <v>86452</v>
      </c>
    </row>
    <row r="412" spans="1:29">
      <c r="A412" t="s">
        <v>933</v>
      </c>
      <c r="B412" s="2">
        <v>4743</v>
      </c>
      <c r="C412" s="2">
        <v>7003</v>
      </c>
    </row>
    <row r="413" spans="1:29">
      <c r="A413" t="s">
        <v>934</v>
      </c>
      <c r="B413" s="2">
        <v>81848</v>
      </c>
      <c r="C413" s="2">
        <v>93454</v>
      </c>
    </row>
    <row r="414" spans="1:29">
      <c r="A414" t="s">
        <v>1075</v>
      </c>
    </row>
    <row r="415" spans="1:29">
      <c r="A415" t="s">
        <v>1076</v>
      </c>
    </row>
    <row r="416" spans="1:29">
      <c r="A416" t="s">
        <v>774</v>
      </c>
      <c r="B416" s="2">
        <v>2703</v>
      </c>
      <c r="C416" s="2">
        <v>8626</v>
      </c>
    </row>
    <row r="417" spans="1:29">
      <c r="A417" t="s">
        <v>776</v>
      </c>
      <c r="B417">
        <v>773</v>
      </c>
      <c r="C417" s="2">
        <v>5486</v>
      </c>
    </row>
    <row r="418" spans="1:29">
      <c r="A418" t="s">
        <v>778</v>
      </c>
      <c r="B418">
        <v>-594</v>
      </c>
      <c r="C418" s="2">
        <v>3930</v>
      </c>
    </row>
    <row r="419" spans="1:29">
      <c r="A419" t="s">
        <v>1077</v>
      </c>
      <c r="B419" s="2">
        <v>1336</v>
      </c>
      <c r="C419" s="2">
        <v>7070</v>
      </c>
    </row>
    <row r="420" spans="1:29">
      <c r="A420" t="s">
        <v>1078</v>
      </c>
      <c r="B420" s="2">
        <v>4255</v>
      </c>
      <c r="C420" s="2">
        <v>15208</v>
      </c>
    </row>
    <row r="421" spans="1:29">
      <c r="A421" t="s">
        <v>1079</v>
      </c>
      <c r="B421" s="2">
        <v>5591</v>
      </c>
      <c r="C421" s="2">
        <v>22278</v>
      </c>
    </row>
    <row r="422" spans="1:29">
      <c r="A422" t="s">
        <v>1080</v>
      </c>
      <c r="B422" s="2">
        <v>76257</v>
      </c>
      <c r="C422" s="2">
        <v>71177</v>
      </c>
    </row>
    <row r="423" spans="1:29">
      <c r="A423" t="s">
        <v>1081</v>
      </c>
      <c r="B423" s="2">
        <v>39202</v>
      </c>
      <c r="C423" s="2">
        <v>31187</v>
      </c>
    </row>
    <row r="424" spans="1:29">
      <c r="A424" t="s">
        <v>1082</v>
      </c>
    </row>
    <row r="425" spans="1:29">
      <c r="A425" t="s">
        <v>792</v>
      </c>
      <c r="B425" s="2">
        <v>3061</v>
      </c>
    </row>
    <row r="426" spans="1:29">
      <c r="A426" t="s">
        <v>1083</v>
      </c>
    </row>
    <row r="427" spans="1:29">
      <c r="A427" t="s">
        <v>795</v>
      </c>
      <c r="B427" s="2">
        <v>33658</v>
      </c>
    </row>
    <row r="428" spans="1:29">
      <c r="A428" t="s">
        <v>796</v>
      </c>
      <c r="B428" s="2">
        <v>1810</v>
      </c>
      <c r="C428" s="2">
        <v>1898</v>
      </c>
    </row>
    <row r="429" spans="1:29">
      <c r="A429" t="s">
        <v>949</v>
      </c>
      <c r="B429" s="2">
        <v>12354</v>
      </c>
      <c r="C429" s="2">
        <v>11449</v>
      </c>
    </row>
    <row r="430" spans="1:29">
      <c r="A430" t="s">
        <v>1084</v>
      </c>
    </row>
    <row r="431" spans="1:29">
      <c r="A431" t="s">
        <v>1085</v>
      </c>
      <c r="B431" s="2">
        <v>50882</v>
      </c>
      <c r="C431" s="2">
        <v>45351</v>
      </c>
    </row>
    <row r="432" spans="1:29">
      <c r="A432" t="s">
        <v>1086</v>
      </c>
      <c r="B432" s="2">
        <v>64577</v>
      </c>
      <c r="C432" s="2">
        <v>57013</v>
      </c>
    </row>
    <row r="433" spans="1:29">
      <c r="A433" t="s">
        <v>1087</v>
      </c>
      <c r="B433">
        <v>637</v>
      </c>
      <c r="C433">
        <v>33</v>
      </c>
    </row>
    <row r="434" spans="1:29">
      <c r="A434" t="s">
        <v>1088</v>
      </c>
      <c r="B434" s="2">
        <v>65213</v>
      </c>
      <c r="C434" s="2">
        <v>57046</v>
      </c>
    </row>
    <row r="435" spans="1:29">
      <c r="A435" t="s">
        <v>1089</v>
      </c>
      <c r="B435" s="2">
        <v>14347</v>
      </c>
      <c r="C435" s="2">
        <v>12550</v>
      </c>
    </row>
    <row r="436" spans="1:29">
      <c r="A436" t="s">
        <v>1090</v>
      </c>
      <c r="B436" s="2">
        <v>50866</v>
      </c>
      <c r="C436" s="2">
        <v>44496</v>
      </c>
    </row>
    <row r="437" spans="1:29">
      <c r="A437" t="s">
        <v>1091</v>
      </c>
      <c r="B437" s="2">
        <v>16258</v>
      </c>
      <c r="C437" s="2">
        <v>8053</v>
      </c>
    </row>
    <row r="438" spans="1:29">
      <c r="A438" t="s">
        <v>1092</v>
      </c>
      <c r="B438" s="2">
        <v>67124</v>
      </c>
      <c r="C438" s="2">
        <v>52549</v>
      </c>
    </row>
    <row r="442" spans="1:29">
      <c r="A442" t="s">
        <v>1093</v>
      </c>
    </row>
    <row r="443" spans="1:29">
      <c r="A443" t="s">
        <v>830</v>
      </c>
      <c r="B443" t="s">
        <v>900</v>
      </c>
      <c r="C443" t="s">
        <v>901</v>
      </c>
    </row>
    <row r="444" spans="1:29">
      <c r="A444" t="s">
        <v>903</v>
      </c>
    </row>
    <row r="445" spans="1:29">
      <c r="A445" t="s">
        <v>906</v>
      </c>
    </row>
    <row r="446" spans="1:29">
      <c r="A446" t="s">
        <v>744</v>
      </c>
      <c r="C446" s="2">
        <v>30219</v>
      </c>
    </row>
    <row r="447" spans="1:29">
      <c r="A447" t="s">
        <v>747</v>
      </c>
      <c r="B447" s="2">
        <v>305083</v>
      </c>
      <c r="C447" s="2">
        <v>281254</v>
      </c>
    </row>
    <row r="448" spans="1:29">
      <c r="A448" t="s">
        <v>910</v>
      </c>
      <c r="B448" s="2">
        <v>305083</v>
      </c>
      <c r="C448" s="2">
        <v>281254</v>
      </c>
    </row>
    <row r="449" spans="1:29">
      <c r="A449" t="s">
        <v>750</v>
      </c>
      <c r="B449" s="2">
        <v>105309</v>
      </c>
      <c r="C449" s="2">
        <v>97774</v>
      </c>
    </row>
    <row r="450" spans="1:29">
      <c r="A450" t="s">
        <v>913</v>
      </c>
      <c r="B450" s="2">
        <v>199775</v>
      </c>
      <c r="C450" s="2">
        <v>183481</v>
      </c>
    </row>
    <row r="451" spans="1:29">
      <c r="A451" t="s">
        <v>915</v>
      </c>
    </row>
    <row r="452" spans="1:29">
      <c r="A452" t="s">
        <v>754</v>
      </c>
      <c r="B452" s="2">
        <v>102547</v>
      </c>
      <c r="C452" s="2">
        <v>102898</v>
      </c>
    </row>
    <row r="453" spans="1:29">
      <c r="A453" t="s">
        <v>756</v>
      </c>
    </row>
    <row r="454" spans="1:29">
      <c r="A454" t="s">
        <v>919</v>
      </c>
      <c r="B454" s="2">
        <v>102547</v>
      </c>
      <c r="C454" s="2">
        <v>102898</v>
      </c>
    </row>
    <row r="455" spans="1:29">
      <c r="A455" t="s">
        <v>921</v>
      </c>
      <c r="B455" s="2">
        <v>97228</v>
      </c>
      <c r="C455" s="2">
        <v>80583</v>
      </c>
    </row>
    <row r="456" spans="1:29">
      <c r="A456" t="s">
        <v>923</v>
      </c>
    </row>
    <row r="457" spans="1:29">
      <c r="A457" t="s">
        <v>761</v>
      </c>
      <c r="B457" s="2">
        <v>-4311</v>
      </c>
      <c r="C457">
        <v>433</v>
      </c>
    </row>
    <row r="458" spans="1:29">
      <c r="A458" t="s">
        <v>762</v>
      </c>
      <c r="B458" s="2">
        <v>3283</v>
      </c>
      <c r="C458" s="2">
        <v>11348</v>
      </c>
    </row>
    <row r="459" spans="1:29">
      <c r="A459" t="s">
        <v>927</v>
      </c>
    </row>
    <row r="460" spans="1:29">
      <c r="A460" t="s">
        <v>930</v>
      </c>
      <c r="B460" s="2">
        <v>-1028</v>
      </c>
      <c r="C460" s="2">
        <v>11782</v>
      </c>
    </row>
    <row r="461" spans="1:29">
      <c r="A461" t="s">
        <v>932</v>
      </c>
      <c r="B461" s="2">
        <v>96199</v>
      </c>
      <c r="C461" s="2">
        <v>92364</v>
      </c>
    </row>
    <row r="462" spans="1:29">
      <c r="A462" t="s">
        <v>933</v>
      </c>
      <c r="B462" s="2">
        <v>5614</v>
      </c>
    </row>
    <row r="463" spans="1:29">
      <c r="A463" t="s">
        <v>934</v>
      </c>
      <c r="B463" s="2">
        <v>101813</v>
      </c>
      <c r="C463" s="2">
        <v>100017</v>
      </c>
    </row>
    <row r="464" spans="1:29">
      <c r="A464" t="s">
        <v>1075</v>
      </c>
    </row>
    <row r="465" spans="1:29">
      <c r="A465" t="s">
        <v>1076</v>
      </c>
    </row>
    <row r="466" spans="1:29">
      <c r="A466" t="s">
        <v>774</v>
      </c>
      <c r="B466" s="2">
        <v>2943</v>
      </c>
      <c r="C466" s="2">
        <v>5486</v>
      </c>
    </row>
    <row r="467" spans="1:29">
      <c r="A467" t="s">
        <v>776</v>
      </c>
      <c r="B467">
        <v>773</v>
      </c>
    </row>
    <row r="468" spans="1:29">
      <c r="A468" t="s">
        <v>778</v>
      </c>
      <c r="B468">
        <v>-821</v>
      </c>
      <c r="C468" s="2">
        <v>3052</v>
      </c>
    </row>
    <row r="469" spans="1:29">
      <c r="A469" t="s">
        <v>1077</v>
      </c>
      <c r="B469" s="2">
        <v>1349</v>
      </c>
      <c r="C469" s="2">
        <v>9145</v>
      </c>
    </row>
    <row r="470" spans="1:29">
      <c r="A470" t="s">
        <v>1078</v>
      </c>
      <c r="B470" s="2">
        <v>5297</v>
      </c>
      <c r="C470" s="2">
        <v>20538</v>
      </c>
    </row>
    <row r="471" spans="1:29">
      <c r="A471" t="s">
        <v>1079</v>
      </c>
      <c r="B471" s="2">
        <v>6646</v>
      </c>
      <c r="C471" s="2">
        <v>27249</v>
      </c>
    </row>
    <row r="472" spans="1:29">
      <c r="A472" t="s">
        <v>1080</v>
      </c>
      <c r="B472" s="2">
        <v>95167</v>
      </c>
      <c r="C472" s="2">
        <v>72768</v>
      </c>
    </row>
    <row r="473" spans="1:29">
      <c r="A473" t="s">
        <v>1081</v>
      </c>
      <c r="B473" s="2">
        <v>44609</v>
      </c>
      <c r="C473" s="2">
        <v>34804</v>
      </c>
    </row>
    <row r="474" spans="1:29">
      <c r="A474" t="s">
        <v>1082</v>
      </c>
    </row>
    <row r="475" spans="1:29">
      <c r="A475" t="s">
        <v>792</v>
      </c>
      <c r="B475" s="2">
        <v>3326</v>
      </c>
    </row>
    <row r="476" spans="1:29">
      <c r="A476" t="s">
        <v>1083</v>
      </c>
    </row>
    <row r="477" spans="1:29">
      <c r="A477" t="s">
        <v>795</v>
      </c>
      <c r="B477" s="2">
        <v>38506</v>
      </c>
    </row>
    <row r="478" spans="1:29">
      <c r="A478" t="s">
        <v>796</v>
      </c>
      <c r="B478" s="2">
        <v>2177</v>
      </c>
      <c r="C478" s="2">
        <v>2172</v>
      </c>
    </row>
    <row r="479" spans="1:29">
      <c r="A479" t="s">
        <v>949</v>
      </c>
      <c r="B479" s="2">
        <v>13667</v>
      </c>
      <c r="C479" s="2">
        <v>12826</v>
      </c>
    </row>
    <row r="480" spans="1:29">
      <c r="A480" t="s">
        <v>1084</v>
      </c>
    </row>
    <row r="481" spans="1:29">
      <c r="A481" t="s">
        <v>1085</v>
      </c>
      <c r="B481" s="2">
        <v>57676</v>
      </c>
      <c r="C481" s="2">
        <v>49529</v>
      </c>
    </row>
    <row r="482" spans="1:29">
      <c r="A482" t="s">
        <v>1086</v>
      </c>
      <c r="B482" s="2">
        <v>82100</v>
      </c>
      <c r="C482" s="2">
        <v>58044</v>
      </c>
    </row>
    <row r="483" spans="1:29">
      <c r="A483" t="s">
        <v>1087</v>
      </c>
      <c r="B483">
        <v>588</v>
      </c>
      <c r="C483">
        <v>781</v>
      </c>
    </row>
    <row r="484" spans="1:29">
      <c r="A484" t="s">
        <v>1088</v>
      </c>
      <c r="B484" s="2">
        <v>82688</v>
      </c>
      <c r="C484" s="2">
        <v>58825</v>
      </c>
    </row>
    <row r="485" spans="1:29">
      <c r="A485" t="s">
        <v>1089</v>
      </c>
      <c r="B485" s="2">
        <v>18191</v>
      </c>
      <c r="C485" s="2">
        <v>12942</v>
      </c>
    </row>
    <row r="486" spans="1:29">
      <c r="A486" t="s">
        <v>1090</v>
      </c>
      <c r="B486" s="2">
        <v>64497</v>
      </c>
      <c r="C486" s="2">
        <v>45884</v>
      </c>
    </row>
    <row r="487" spans="1:29">
      <c r="A487" t="s">
        <v>1091</v>
      </c>
      <c r="B487" s="2">
        <v>23048</v>
      </c>
      <c r="C487" s="2">
        <v>-2439</v>
      </c>
    </row>
    <row r="488" spans="1:29">
      <c r="A488" t="s">
        <v>1092</v>
      </c>
      <c r="B488" s="2">
        <v>87545</v>
      </c>
      <c r="C488" s="2">
        <v>43445</v>
      </c>
    </row>
    <row r="492" spans="1:29">
      <c r="A492" t="s">
        <v>1094</v>
      </c>
    </row>
    <row r="493" spans="1:29">
      <c r="A493" t="s">
        <v>830</v>
      </c>
      <c r="B493" t="s">
        <v>900</v>
      </c>
      <c r="C493" t="s">
        <v>901</v>
      </c>
    </row>
    <row r="494" spans="1:29">
      <c r="A494" t="s">
        <v>903</v>
      </c>
    </row>
    <row r="495" spans="1:29">
      <c r="A495" t="s">
        <v>906</v>
      </c>
    </row>
    <row r="496" spans="1:29">
      <c r="A496" t="s">
        <v>744</v>
      </c>
    </row>
    <row r="497" spans="1:29">
      <c r="A497" t="s">
        <v>747</v>
      </c>
      <c r="B497">
        <v>341936</v>
      </c>
      <c r="C497">
        <v>310889</v>
      </c>
    </row>
    <row r="498" spans="1:29">
      <c r="A498" t="s">
        <v>910</v>
      </c>
      <c r="B498">
        <v>341936</v>
      </c>
      <c r="C498">
        <v>310889</v>
      </c>
    </row>
    <row r="499" spans="1:29">
      <c r="A499" t="s">
        <v>750</v>
      </c>
      <c r="B499">
        <v>118102</v>
      </c>
      <c r="C499">
        <v>108146</v>
      </c>
    </row>
    <row r="500" spans="1:29">
      <c r="A500" t="s">
        <v>913</v>
      </c>
      <c r="B500">
        <v>223834</v>
      </c>
      <c r="C500">
        <v>202743</v>
      </c>
    </row>
    <row r="501" spans="1:29">
      <c r="A501" t="s">
        <v>915</v>
      </c>
    </row>
    <row r="502" spans="1:29">
      <c r="A502" t="s">
        <v>754</v>
      </c>
      <c r="B502">
        <v>112845</v>
      </c>
      <c r="C502">
        <v>113069</v>
      </c>
    </row>
    <row r="503" spans="1:29">
      <c r="A503" t="s">
        <v>756</v>
      </c>
    </row>
    <row r="504" spans="1:29">
      <c r="A504" t="s">
        <v>919</v>
      </c>
      <c r="B504">
        <v>112845</v>
      </c>
      <c r="C504">
        <v>113069</v>
      </c>
    </row>
    <row r="505" spans="1:29">
      <c r="A505" t="s">
        <v>921</v>
      </c>
      <c r="B505">
        <v>110989</v>
      </c>
      <c r="C505">
        <v>89673</v>
      </c>
    </row>
    <row r="506" spans="1:29">
      <c r="A506" t="s">
        <v>923</v>
      </c>
    </row>
    <row r="507" spans="1:29">
      <c r="A507" t="s">
        <v>761</v>
      </c>
      <c r="B507">
        <v>-5051</v>
      </c>
      <c r="C507">
        <v>-158</v>
      </c>
    </row>
    <row r="508" spans="1:29">
      <c r="A508" t="s">
        <v>762</v>
      </c>
      <c r="B508">
        <v>2494</v>
      </c>
      <c r="C508">
        <v>16085</v>
      </c>
    </row>
    <row r="509" spans="1:29">
      <c r="A509" t="s">
        <v>927</v>
      </c>
    </row>
    <row r="510" spans="1:29">
      <c r="A510" t="s">
        <v>930</v>
      </c>
      <c r="B510">
        <v>-2557</v>
      </c>
      <c r="C510">
        <v>15926</v>
      </c>
    </row>
    <row r="511" spans="1:29">
      <c r="A511" t="s">
        <v>932</v>
      </c>
      <c r="B511">
        <v>108432</v>
      </c>
      <c r="C511">
        <v>105600</v>
      </c>
    </row>
    <row r="512" spans="1:29">
      <c r="A512" t="s">
        <v>933</v>
      </c>
      <c r="B512">
        <v>5919</v>
      </c>
      <c r="C512">
        <v>7652</v>
      </c>
    </row>
    <row r="513" spans="1:29">
      <c r="A513" t="s">
        <v>934</v>
      </c>
      <c r="B513">
        <v>114351</v>
      </c>
      <c r="C513">
        <v>113252</v>
      </c>
    </row>
    <row r="514" spans="1:29">
      <c r="A514" t="s">
        <v>1075</v>
      </c>
    </row>
    <row r="515" spans="1:29">
      <c r="A515" t="s">
        <v>1076</v>
      </c>
    </row>
    <row r="516" spans="1:29">
      <c r="A516" t="s">
        <v>774</v>
      </c>
      <c r="B516">
        <v>9294</v>
      </c>
      <c r="C516">
        <v>3056</v>
      </c>
    </row>
    <row r="517" spans="1:29">
      <c r="A517" t="s">
        <v>776</v>
      </c>
      <c r="B517">
        <v>773</v>
      </c>
      <c r="C517">
        <v>5486</v>
      </c>
    </row>
    <row r="518" spans="1:29">
      <c r="A518" t="s">
        <v>778</v>
      </c>
      <c r="B518">
        <v>-1046</v>
      </c>
      <c r="C518">
        <v>3576</v>
      </c>
    </row>
    <row r="519" spans="1:29">
      <c r="A519" t="s">
        <v>1077</v>
      </c>
      <c r="B519">
        <v>7384</v>
      </c>
      <c r="C519">
        <v>5631</v>
      </c>
    </row>
    <row r="520" spans="1:29">
      <c r="A520" t="s">
        <v>1078</v>
      </c>
      <c r="B520">
        <v>5919</v>
      </c>
      <c r="C520">
        <v>7652</v>
      </c>
    </row>
    <row r="521" spans="1:29">
      <c r="A521" t="s">
        <v>1079</v>
      </c>
      <c r="B521">
        <v>13303</v>
      </c>
      <c r="C521">
        <v>13283</v>
      </c>
    </row>
    <row r="522" spans="1:29">
      <c r="A522" t="s">
        <v>1080</v>
      </c>
      <c r="B522">
        <v>90732</v>
      </c>
      <c r="C522">
        <v>67878</v>
      </c>
    </row>
    <row r="523" spans="1:29">
      <c r="A523" t="s">
        <v>1081</v>
      </c>
      <c r="B523">
        <v>600</v>
      </c>
      <c r="C523">
        <v>939</v>
      </c>
    </row>
    <row r="524" spans="1:29">
      <c r="A524" t="s">
        <v>1082</v>
      </c>
    </row>
    <row r="525" spans="1:29">
      <c r="A525" t="s">
        <v>792</v>
      </c>
      <c r="B525">
        <v>3546</v>
      </c>
      <c r="C525">
        <v>2326</v>
      </c>
    </row>
    <row r="526" spans="1:29">
      <c r="A526" t="s">
        <v>1083</v>
      </c>
    </row>
    <row r="527" spans="1:29">
      <c r="A527" t="s">
        <v>795</v>
      </c>
      <c r="B527">
        <v>42324</v>
      </c>
      <c r="C527">
        <v>2534</v>
      </c>
    </row>
    <row r="528" spans="1:29">
      <c r="A528" t="s">
        <v>796</v>
      </c>
      <c r="B528">
        <v>2534</v>
      </c>
      <c r="C528">
        <v>1110</v>
      </c>
    </row>
    <row r="529" spans="1:29">
      <c r="A529" t="s">
        <v>949</v>
      </c>
      <c r="B529">
        <v>15447</v>
      </c>
      <c r="C529">
        <v>14088</v>
      </c>
    </row>
    <row r="530" spans="1:29">
      <c r="A530" t="s">
        <v>1084</v>
      </c>
    </row>
    <row r="531" spans="1:29">
      <c r="A531" t="s">
        <v>1085</v>
      </c>
      <c r="B531">
        <v>63850</v>
      </c>
      <c r="C531">
        <v>54406</v>
      </c>
    </row>
    <row r="532" spans="1:29">
      <c r="A532" t="s">
        <v>1086</v>
      </c>
      <c r="B532">
        <v>90732</v>
      </c>
      <c r="C532">
        <v>67878</v>
      </c>
    </row>
    <row r="533" spans="1:29">
      <c r="A533" t="s">
        <v>1087</v>
      </c>
      <c r="B533">
        <v>600</v>
      </c>
      <c r="C533">
        <v>939</v>
      </c>
    </row>
    <row r="534" spans="1:29">
      <c r="A534" t="s">
        <v>1088</v>
      </c>
      <c r="B534">
        <v>91331</v>
      </c>
      <c r="C534">
        <v>68816</v>
      </c>
    </row>
    <row r="535" spans="1:29">
      <c r="A535" t="s">
        <v>1089</v>
      </c>
      <c r="B535">
        <v>20093</v>
      </c>
      <c r="C535">
        <v>15140</v>
      </c>
    </row>
    <row r="536" spans="1:29">
      <c r="A536" t="s">
        <v>1090</v>
      </c>
      <c r="B536">
        <v>71238</v>
      </c>
      <c r="C536">
        <v>53677</v>
      </c>
    </row>
    <row r="537" spans="1:29">
      <c r="A537" t="s">
        <v>1091</v>
      </c>
      <c r="B537">
        <v>18560</v>
      </c>
      <c r="C537">
        <v>-5317</v>
      </c>
    </row>
    <row r="538" spans="1:29">
      <c r="A538" t="s">
        <v>1092</v>
      </c>
      <c r="B538">
        <v>89798</v>
      </c>
      <c r="C538">
        <v>48360</v>
      </c>
    </row>
    <row r="541" spans="1:29">
      <c r="A541" t="s">
        <v>1095</v>
      </c>
    </row>
    <row r="542" spans="1:29">
      <c r="A542" t="s">
        <v>830</v>
      </c>
      <c r="B542" t="s">
        <v>900</v>
      </c>
      <c r="C542" t="s">
        <v>901</v>
      </c>
    </row>
    <row r="543" spans="1:29">
      <c r="A543" t="s">
        <v>903</v>
      </c>
    </row>
    <row r="544" spans="1:29">
      <c r="A544" t="s">
        <v>906</v>
      </c>
    </row>
    <row r="545" spans="1:29">
      <c r="A545" t="s">
        <v>744</v>
      </c>
    </row>
    <row r="546" spans="1:29">
      <c r="A546" t="s">
        <v>747</v>
      </c>
      <c r="B546" s="2">
        <v>372180</v>
      </c>
      <c r="C546" s="2">
        <v>341616</v>
      </c>
    </row>
    <row r="547" spans="1:29">
      <c r="A547" t="s">
        <v>910</v>
      </c>
      <c r="B547" s="2">
        <v>372180</v>
      </c>
      <c r="C547" s="2">
        <v>341616</v>
      </c>
    </row>
    <row r="548" spans="1:29">
      <c r="A548" t="s">
        <v>750</v>
      </c>
      <c r="B548" s="2">
        <v>128701</v>
      </c>
      <c r="C548" s="2">
        <v>118850</v>
      </c>
    </row>
    <row r="549" spans="1:29">
      <c r="A549" t="s">
        <v>913</v>
      </c>
      <c r="B549" s="2">
        <v>243479</v>
      </c>
      <c r="C549" s="2">
        <v>222766</v>
      </c>
    </row>
    <row r="550" spans="1:29">
      <c r="A550" t="s">
        <v>915</v>
      </c>
    </row>
    <row r="551" spans="1:29">
      <c r="A551" t="s">
        <v>754</v>
      </c>
      <c r="B551" s="2">
        <v>144200</v>
      </c>
      <c r="C551" s="2">
        <v>140979</v>
      </c>
    </row>
    <row r="552" spans="1:29">
      <c r="A552" t="s">
        <v>756</v>
      </c>
    </row>
    <row r="553" spans="1:29">
      <c r="A553" t="s">
        <v>919</v>
      </c>
      <c r="B553" s="2">
        <v>144200</v>
      </c>
      <c r="C553" s="2">
        <v>140979</v>
      </c>
    </row>
    <row r="554" spans="1:29">
      <c r="A554" t="s">
        <v>921</v>
      </c>
      <c r="B554" s="2">
        <v>99278</v>
      </c>
      <c r="C554" s="2">
        <v>81787</v>
      </c>
    </row>
    <row r="555" spans="1:29">
      <c r="A555" t="s">
        <v>923</v>
      </c>
    </row>
    <row r="556" spans="1:29">
      <c r="A556" t="s">
        <v>761</v>
      </c>
      <c r="B556" s="2">
        <v>-3162</v>
      </c>
      <c r="C556" s="2">
        <v>2647</v>
      </c>
    </row>
    <row r="557" spans="1:29">
      <c r="A557" t="s">
        <v>762</v>
      </c>
      <c r="B557" s="2">
        <v>20327</v>
      </c>
      <c r="C557" s="2">
        <v>29566</v>
      </c>
    </row>
    <row r="558" spans="1:29">
      <c r="A558" t="s">
        <v>927</v>
      </c>
    </row>
    <row r="559" spans="1:29">
      <c r="A559" t="s">
        <v>930</v>
      </c>
      <c r="B559" s="2">
        <v>17165</v>
      </c>
      <c r="C559" s="2">
        <v>32213</v>
      </c>
    </row>
    <row r="560" spans="1:29">
      <c r="A560" t="s">
        <v>932</v>
      </c>
      <c r="B560" s="2">
        <v>116443</v>
      </c>
      <c r="C560" s="2">
        <v>114000</v>
      </c>
    </row>
    <row r="561" spans="1:29">
      <c r="A561" t="s">
        <v>933</v>
      </c>
    </row>
    <row r="562" spans="1:29">
      <c r="A562" t="s">
        <v>934</v>
      </c>
      <c r="B562" s="2">
        <v>116443</v>
      </c>
      <c r="C562" s="2">
        <v>114000</v>
      </c>
    </row>
    <row r="563" spans="1:29">
      <c r="A563" t="s">
        <v>1075</v>
      </c>
    </row>
    <row r="564" spans="1:29">
      <c r="A564" t="s">
        <v>1076</v>
      </c>
    </row>
    <row r="565" spans="1:29">
      <c r="A565" t="s">
        <v>774</v>
      </c>
      <c r="B565" s="2">
        <v>3337</v>
      </c>
      <c r="C565" s="2">
        <v>11093</v>
      </c>
    </row>
    <row r="566" spans="1:29">
      <c r="A566" t="s">
        <v>776</v>
      </c>
      <c r="B566">
        <v>871</v>
      </c>
      <c r="C566" s="2">
        <v>5560</v>
      </c>
    </row>
    <row r="567" spans="1:29">
      <c r="A567" t="s">
        <v>778</v>
      </c>
      <c r="B567" s="2">
        <v>-1317</v>
      </c>
      <c r="C567" s="2">
        <v>3356</v>
      </c>
    </row>
    <row r="568" spans="1:29">
      <c r="A568" t="s">
        <v>1077</v>
      </c>
      <c r="B568" s="2">
        <v>1150</v>
      </c>
      <c r="C568" s="2">
        <v>8889</v>
      </c>
    </row>
    <row r="569" spans="1:29">
      <c r="A569" t="s">
        <v>1078</v>
      </c>
      <c r="B569" s="2">
        <v>15706</v>
      </c>
      <c r="C569" s="2">
        <v>11663</v>
      </c>
    </row>
    <row r="570" spans="1:29">
      <c r="A570" t="s">
        <v>1079</v>
      </c>
      <c r="B570" s="2">
        <v>16856</v>
      </c>
      <c r="C570" s="2">
        <v>20552</v>
      </c>
    </row>
    <row r="571" spans="1:29">
      <c r="A571" t="s">
        <v>1080</v>
      </c>
      <c r="B571" s="2">
        <v>99587</v>
      </c>
      <c r="C571" s="2">
        <v>93448</v>
      </c>
    </row>
    <row r="572" spans="1:29">
      <c r="A572" t="s">
        <v>1081</v>
      </c>
      <c r="B572" s="2">
        <v>41774</v>
      </c>
      <c r="C572" s="2">
        <v>37419</v>
      </c>
    </row>
    <row r="573" spans="1:29">
      <c r="A573" t="s">
        <v>1082</v>
      </c>
    </row>
    <row r="574" spans="1:29">
      <c r="A574" t="s">
        <v>792</v>
      </c>
      <c r="B574" s="2">
        <v>3433</v>
      </c>
      <c r="C574" s="2">
        <v>3911</v>
      </c>
    </row>
    <row r="575" spans="1:29">
      <c r="A575" t="s">
        <v>1083</v>
      </c>
    </row>
    <row r="576" spans="1:29">
      <c r="A576" t="s">
        <v>795</v>
      </c>
      <c r="B576" s="2">
        <v>46609</v>
      </c>
      <c r="C576" s="2">
        <v>41774</v>
      </c>
    </row>
    <row r="577" spans="1:29">
      <c r="A577" t="s">
        <v>796</v>
      </c>
      <c r="B577" s="2">
        <v>2641</v>
      </c>
      <c r="C577" s="2">
        <v>2697</v>
      </c>
    </row>
    <row r="578" spans="1:29">
      <c r="A578" t="s">
        <v>949</v>
      </c>
      <c r="B578" s="2">
        <v>17976</v>
      </c>
      <c r="C578" s="2">
        <v>16454</v>
      </c>
    </row>
    <row r="579" spans="1:29">
      <c r="A579" t="s">
        <v>1084</v>
      </c>
    </row>
    <row r="580" spans="1:29">
      <c r="A580" t="s">
        <v>1085</v>
      </c>
      <c r="B580" s="2">
        <v>71137</v>
      </c>
      <c r="C580" s="2">
        <v>60004</v>
      </c>
    </row>
    <row r="581" spans="1:29">
      <c r="A581" t="s">
        <v>1086</v>
      </c>
      <c r="B581" s="2">
        <v>83404</v>
      </c>
      <c r="C581" s="2">
        <v>75217</v>
      </c>
    </row>
    <row r="582" spans="1:29">
      <c r="A582" t="s">
        <v>1087</v>
      </c>
      <c r="B582">
        <v>624</v>
      </c>
      <c r="C582" s="2">
        <v>1088</v>
      </c>
    </row>
    <row r="583" spans="1:29">
      <c r="A583" t="s">
        <v>1088</v>
      </c>
      <c r="B583" s="2">
        <v>84028</v>
      </c>
      <c r="C583" s="2">
        <v>76305</v>
      </c>
    </row>
    <row r="584" spans="1:29">
      <c r="A584" t="s">
        <v>1089</v>
      </c>
      <c r="B584" s="2">
        <v>19009</v>
      </c>
      <c r="C584" s="2">
        <v>16787</v>
      </c>
    </row>
    <row r="585" spans="1:29">
      <c r="A585" t="s">
        <v>1090</v>
      </c>
      <c r="B585" s="2">
        <v>65019</v>
      </c>
      <c r="C585" s="2">
        <v>59518</v>
      </c>
    </row>
    <row r="586" spans="1:29">
      <c r="A586" t="s">
        <v>1091</v>
      </c>
      <c r="B586" s="2">
        <v>22556</v>
      </c>
      <c r="C586" s="2">
        <v>-9986</v>
      </c>
    </row>
    <row r="587" spans="1:29">
      <c r="A587" t="s">
        <v>1092</v>
      </c>
      <c r="B587" s="2">
        <v>87575</v>
      </c>
      <c r="C587" s="2">
        <v>49532</v>
      </c>
    </row>
    <row r="589" spans="1:29">
      <c r="A589" t="s">
        <v>1096</v>
      </c>
    </row>
    <row r="590" spans="1:29">
      <c r="A590" t="s">
        <v>830</v>
      </c>
      <c r="B590" t="s">
        <v>900</v>
      </c>
    </row>
    <row r="591" spans="1:29">
      <c r="A591" t="s">
        <v>913</v>
      </c>
      <c r="B591" s="2">
        <v>243479</v>
      </c>
    </row>
    <row r="595" spans="1:29">
      <c r="A595" t="s">
        <v>1097</v>
      </c>
    </row>
    <row r="596" spans="1:29">
      <c r="A596" t="s">
        <v>830</v>
      </c>
      <c r="B596" t="s">
        <v>900</v>
      </c>
      <c r="C596" t="s">
        <v>901</v>
      </c>
    </row>
    <row r="597" spans="1:29">
      <c r="A597" t="s">
        <v>903</v>
      </c>
    </row>
    <row r="598" spans="1:29">
      <c r="A598" t="s">
        <v>906</v>
      </c>
    </row>
    <row r="599" spans="1:29">
      <c r="A599" t="s">
        <v>744</v>
      </c>
    </row>
    <row r="600" spans="1:29">
      <c r="A600" t="s">
        <v>747</v>
      </c>
      <c r="B600" s="2">
        <v>138163</v>
      </c>
      <c r="C600" s="2">
        <v>118453</v>
      </c>
    </row>
    <row r="601" spans="1:29">
      <c r="A601" t="s">
        <v>910</v>
      </c>
      <c r="B601" s="2">
        <v>138163</v>
      </c>
      <c r="C601" s="2">
        <v>118453</v>
      </c>
    </row>
    <row r="602" spans="1:29">
      <c r="A602" t="s">
        <v>750</v>
      </c>
      <c r="B602" s="2">
        <v>47495</v>
      </c>
      <c r="C602" s="2">
        <v>41363</v>
      </c>
    </row>
    <row r="603" spans="1:29">
      <c r="A603" t="s">
        <v>913</v>
      </c>
      <c r="B603" s="2">
        <v>90668</v>
      </c>
      <c r="C603" s="2">
        <v>77090</v>
      </c>
    </row>
    <row r="604" spans="1:29">
      <c r="A604" t="s">
        <v>915</v>
      </c>
    </row>
    <row r="605" spans="1:29">
      <c r="A605" t="s">
        <v>754</v>
      </c>
      <c r="B605" s="2">
        <v>57575</v>
      </c>
      <c r="C605" s="2">
        <v>59910</v>
      </c>
    </row>
    <row r="606" spans="1:29">
      <c r="A606" t="s">
        <v>756</v>
      </c>
    </row>
    <row r="607" spans="1:29">
      <c r="A607" t="s">
        <v>919</v>
      </c>
      <c r="B607" s="2">
        <v>57575</v>
      </c>
      <c r="C607" s="2">
        <v>59910</v>
      </c>
    </row>
    <row r="608" spans="1:29">
      <c r="A608" t="s">
        <v>921</v>
      </c>
      <c r="B608" s="2">
        <v>33093</v>
      </c>
      <c r="C608" s="2">
        <v>17180</v>
      </c>
    </row>
    <row r="609" spans="1:29">
      <c r="A609" t="s">
        <v>923</v>
      </c>
    </row>
    <row r="610" spans="1:29">
      <c r="A610" t="s">
        <v>761</v>
      </c>
      <c r="B610" s="2">
        <v>-1166</v>
      </c>
      <c r="C610" s="2">
        <v>1234</v>
      </c>
    </row>
    <row r="611" spans="1:29">
      <c r="A611" t="s">
        <v>762</v>
      </c>
      <c r="B611" s="2">
        <v>-2895</v>
      </c>
      <c r="C611" s="2">
        <v>16634</v>
      </c>
    </row>
    <row r="612" spans="1:29">
      <c r="A612" t="s">
        <v>927</v>
      </c>
    </row>
    <row r="613" spans="1:29">
      <c r="A613" t="s">
        <v>930</v>
      </c>
      <c r="B613" s="2">
        <v>-4061</v>
      </c>
      <c r="C613" s="2">
        <v>17868</v>
      </c>
    </row>
    <row r="614" spans="1:29">
      <c r="A614" t="s">
        <v>932</v>
      </c>
      <c r="B614" s="2">
        <v>29033</v>
      </c>
      <c r="C614" s="2">
        <v>35047</v>
      </c>
    </row>
    <row r="615" spans="1:29">
      <c r="A615" t="s">
        <v>933</v>
      </c>
    </row>
    <row r="616" spans="1:29">
      <c r="A616" t="s">
        <v>934</v>
      </c>
      <c r="B616" s="2">
        <v>29033</v>
      </c>
      <c r="C616" s="2">
        <v>35047</v>
      </c>
    </row>
    <row r="617" spans="1:29">
      <c r="A617" t="s">
        <v>1075</v>
      </c>
    </row>
    <row r="618" spans="1:29">
      <c r="A618" t="s">
        <v>1076</v>
      </c>
    </row>
    <row r="619" spans="1:29">
      <c r="A619" t="s">
        <v>774</v>
      </c>
      <c r="B619" s="2">
        <v>1201</v>
      </c>
      <c r="C619" s="2">
        <v>1481</v>
      </c>
    </row>
    <row r="620" spans="1:29">
      <c r="A620" t="s">
        <v>776</v>
      </c>
      <c r="B620">
        <v>773</v>
      </c>
      <c r="C620">
        <v>670</v>
      </c>
    </row>
    <row r="621" spans="1:29">
      <c r="A621" t="s">
        <v>778</v>
      </c>
      <c r="B621">
        <v>-831</v>
      </c>
      <c r="C621" s="2">
        <v>6787</v>
      </c>
    </row>
    <row r="622" spans="1:29">
      <c r="A622" t="s">
        <v>1077</v>
      </c>
      <c r="B622">
        <v>-403</v>
      </c>
      <c r="C622" s="2">
        <v>7598</v>
      </c>
    </row>
    <row r="623" spans="1:29">
      <c r="A623" t="s">
        <v>1078</v>
      </c>
      <c r="B623">
        <v>662</v>
      </c>
      <c r="C623">
        <v>481</v>
      </c>
    </row>
    <row r="624" spans="1:29">
      <c r="A624" t="s">
        <v>1079</v>
      </c>
      <c r="B624">
        <v>259</v>
      </c>
      <c r="C624" s="2">
        <v>8079</v>
      </c>
    </row>
    <row r="625" spans="1:29">
      <c r="A625" t="s">
        <v>1080</v>
      </c>
      <c r="B625" s="2">
        <v>28773</v>
      </c>
      <c r="C625" s="2">
        <v>26968</v>
      </c>
    </row>
    <row r="626" spans="1:29">
      <c r="A626" t="s">
        <v>1081</v>
      </c>
      <c r="B626" s="2">
        <v>19673</v>
      </c>
      <c r="C626" s="2">
        <v>16359</v>
      </c>
    </row>
    <row r="627" spans="1:29">
      <c r="A627" t="s">
        <v>1082</v>
      </c>
    </row>
    <row r="628" spans="1:29">
      <c r="A628" t="s">
        <v>792</v>
      </c>
      <c r="B628" s="2">
        <v>1356</v>
      </c>
      <c r="C628" s="2">
        <v>1270</v>
      </c>
    </row>
    <row r="629" spans="1:29">
      <c r="A629" t="s">
        <v>1083</v>
      </c>
    </row>
    <row r="630" spans="1:29">
      <c r="A630" t="s">
        <v>795</v>
      </c>
      <c r="B630" s="2">
        <v>17589</v>
      </c>
      <c r="C630" s="2">
        <v>15892</v>
      </c>
    </row>
    <row r="631" spans="1:29">
      <c r="A631" t="s">
        <v>796</v>
      </c>
      <c r="B631">
        <v>577</v>
      </c>
      <c r="C631">
        <v>186</v>
      </c>
    </row>
    <row r="632" spans="1:29">
      <c r="A632" t="s">
        <v>949</v>
      </c>
      <c r="B632" s="2">
        <v>6161</v>
      </c>
      <c r="C632" s="2">
        <v>6281</v>
      </c>
    </row>
    <row r="633" spans="1:29">
      <c r="A633" t="s">
        <v>1084</v>
      </c>
    </row>
    <row r="634" spans="1:29">
      <c r="A634" t="s">
        <v>1085</v>
      </c>
      <c r="B634" s="2">
        <v>25683</v>
      </c>
      <c r="C634" s="2">
        <v>23630</v>
      </c>
    </row>
    <row r="635" spans="1:29">
      <c r="A635" t="s">
        <v>1086</v>
      </c>
      <c r="B635" s="2">
        <v>22763</v>
      </c>
      <c r="C635" s="2">
        <v>19698</v>
      </c>
    </row>
    <row r="636" spans="1:29">
      <c r="A636" t="s">
        <v>1087</v>
      </c>
      <c r="B636">
        <v>65</v>
      </c>
      <c r="C636">
        <v>351</v>
      </c>
    </row>
    <row r="637" spans="1:29">
      <c r="A637" t="s">
        <v>1088</v>
      </c>
      <c r="B637" s="2">
        <v>22829</v>
      </c>
      <c r="C637" s="2">
        <v>20049</v>
      </c>
    </row>
    <row r="638" spans="1:29">
      <c r="A638" t="s">
        <v>1089</v>
      </c>
      <c r="B638" s="2">
        <v>5022</v>
      </c>
      <c r="C638" s="2">
        <v>4411</v>
      </c>
    </row>
    <row r="639" spans="1:29">
      <c r="A639" t="s">
        <v>1090</v>
      </c>
      <c r="B639" s="2">
        <v>17806</v>
      </c>
      <c r="C639" s="2">
        <v>15639</v>
      </c>
    </row>
    <row r="640" spans="1:29">
      <c r="A640" t="s">
        <v>1091</v>
      </c>
      <c r="B640" s="2">
        <v>8591</v>
      </c>
      <c r="C640" s="2">
        <v>-3431</v>
      </c>
    </row>
    <row r="641" spans="1:29">
      <c r="A641" t="s">
        <v>1092</v>
      </c>
      <c r="B641" s="2">
        <v>26398</v>
      </c>
      <c r="C641" s="2">
        <v>12207</v>
      </c>
    </row>
    <row r="645" spans="1:29">
      <c r="A645" t="s">
        <v>1098</v>
      </c>
    </row>
    <row r="646" spans="1:29">
      <c r="A646" t="s">
        <v>830</v>
      </c>
      <c r="B646" t="s">
        <v>900</v>
      </c>
      <c r="C646" t="s">
        <v>901</v>
      </c>
    </row>
    <row r="647" spans="1:29">
      <c r="A647" t="s">
        <v>1099</v>
      </c>
    </row>
    <row r="648" spans="1:29">
      <c r="A648" t="s">
        <v>1100</v>
      </c>
      <c r="B648">
        <v>100172</v>
      </c>
      <c r="C648">
        <v>86297</v>
      </c>
    </row>
    <row r="649" spans="1:29">
      <c r="A649" t="s">
        <v>749</v>
      </c>
      <c r="B649">
        <v>100172</v>
      </c>
      <c r="C649">
        <v>86297</v>
      </c>
    </row>
    <row r="650" spans="1:29">
      <c r="A650" t="s">
        <v>1101</v>
      </c>
      <c r="B650">
        <v>34349</v>
      </c>
      <c r="C650">
        <v>30095</v>
      </c>
    </row>
    <row r="651" spans="1:29">
      <c r="A651" t="s">
        <v>753</v>
      </c>
      <c r="B651">
        <v>65823</v>
      </c>
      <c r="C651">
        <v>56203</v>
      </c>
    </row>
    <row r="655" spans="1:29">
      <c r="A655" t="s">
        <v>1102</v>
      </c>
    </row>
    <row r="656" spans="1:29">
      <c r="A656" t="s">
        <v>830</v>
      </c>
      <c r="B656" t="s">
        <v>1103</v>
      </c>
      <c r="C656" t="s">
        <v>1104</v>
      </c>
    </row>
    <row r="657" spans="1:29">
      <c r="A657" t="s">
        <v>742</v>
      </c>
    </row>
    <row r="658" spans="1:29">
      <c r="A658" t="s">
        <v>743</v>
      </c>
    </row>
    <row r="659" spans="1:29">
      <c r="A659" t="s">
        <v>744</v>
      </c>
      <c r="B659">
        <v>143190</v>
      </c>
      <c r="C659">
        <v>120870</v>
      </c>
    </row>
    <row r="660" spans="1:29">
      <c r="A660" t="s">
        <v>747</v>
      </c>
      <c r="B660">
        <v>143190</v>
      </c>
      <c r="C660">
        <v>120870</v>
      </c>
    </row>
    <row r="661" spans="1:29">
      <c r="A661" t="s">
        <v>749</v>
      </c>
      <c r="B661">
        <v>-26690</v>
      </c>
      <c r="C661">
        <v>-25731</v>
      </c>
    </row>
    <row r="662" spans="1:29">
      <c r="A662" t="s">
        <v>750</v>
      </c>
      <c r="B662">
        <v>116500</v>
      </c>
      <c r="C662">
        <v>95139</v>
      </c>
    </row>
    <row r="663" spans="1:29">
      <c r="A663" t="s">
        <v>753</v>
      </c>
      <c r="B663">
        <v>-82680</v>
      </c>
      <c r="C663">
        <v>-57849</v>
      </c>
    </row>
    <row r="664" spans="1:29">
      <c r="A664" t="s">
        <v>728</v>
      </c>
    </row>
    <row r="665" spans="1:29">
      <c r="A665" t="s">
        <v>1105</v>
      </c>
      <c r="B665">
        <v>19240</v>
      </c>
      <c r="C665">
        <v>6877</v>
      </c>
    </row>
    <row r="666" spans="1:29">
      <c r="A666" t="s">
        <v>1106</v>
      </c>
      <c r="B666">
        <v>-63440</v>
      </c>
      <c r="C666">
        <v>-50972</v>
      </c>
    </row>
    <row r="667" spans="1:29">
      <c r="A667" t="s">
        <v>757</v>
      </c>
      <c r="B667">
        <v>53060</v>
      </c>
      <c r="C667">
        <v>44167</v>
      </c>
    </row>
    <row r="668" spans="1:29">
      <c r="A668" t="s">
        <v>1107</v>
      </c>
    </row>
    <row r="669" spans="1:29">
      <c r="A669" t="s">
        <v>760</v>
      </c>
    </row>
    <row r="670" spans="1:29">
      <c r="A670" t="s">
        <v>761</v>
      </c>
      <c r="B670">
        <v>3173</v>
      </c>
      <c r="C670">
        <v>3743</v>
      </c>
    </row>
    <row r="671" spans="1:29">
      <c r="A671" t="s">
        <v>762</v>
      </c>
      <c r="B671">
        <v>18413</v>
      </c>
      <c r="C671">
        <v>16180</v>
      </c>
    </row>
    <row r="672" spans="1:29">
      <c r="A672" t="s">
        <v>943</v>
      </c>
    </row>
    <row r="673" spans="1:29">
      <c r="A673" t="s">
        <v>764</v>
      </c>
      <c r="B673">
        <v>21586</v>
      </c>
      <c r="C673">
        <v>19923</v>
      </c>
    </row>
    <row r="674" spans="1:29">
      <c r="A674" t="s">
        <v>767</v>
      </c>
      <c r="B674">
        <v>74646</v>
      </c>
      <c r="C674">
        <v>64090</v>
      </c>
    </row>
    <row r="675" spans="1:29">
      <c r="A675" t="s">
        <v>768</v>
      </c>
    </row>
    <row r="676" spans="1:29">
      <c r="A676" t="s">
        <v>769</v>
      </c>
      <c r="B676">
        <v>74646</v>
      </c>
      <c r="C676">
        <v>64090</v>
      </c>
    </row>
    <row r="677" spans="1:29">
      <c r="A677" t="s">
        <v>1075</v>
      </c>
    </row>
    <row r="678" spans="1:29">
      <c r="A678" t="s">
        <v>1108</v>
      </c>
    </row>
    <row r="679" spans="1:29">
      <c r="A679" t="s">
        <v>774</v>
      </c>
      <c r="B679">
        <v>106704</v>
      </c>
      <c r="C679">
        <v>77964</v>
      </c>
    </row>
    <row r="680" spans="1:29">
      <c r="A680" t="s">
        <v>776</v>
      </c>
      <c r="B680">
        <v>-35401</v>
      </c>
      <c r="C680">
        <v>-28419</v>
      </c>
    </row>
    <row r="681" spans="1:29">
      <c r="A681" t="s">
        <v>1109</v>
      </c>
      <c r="B681">
        <v>-30991</v>
      </c>
      <c r="C681">
        <v>15718</v>
      </c>
    </row>
    <row r="682" spans="1:29">
      <c r="A682" t="s">
        <v>781</v>
      </c>
      <c r="B682">
        <v>40312</v>
      </c>
      <c r="C682">
        <v>65263</v>
      </c>
    </row>
    <row r="683" spans="1:29">
      <c r="A683" t="s">
        <v>782</v>
      </c>
      <c r="B683">
        <v>46</v>
      </c>
      <c r="C683">
        <v>20</v>
      </c>
    </row>
    <row r="684" spans="1:29">
      <c r="A684" t="s">
        <v>784</v>
      </c>
      <c r="B684">
        <v>40358</v>
      </c>
      <c r="C684">
        <v>65283</v>
      </c>
    </row>
    <row r="685" spans="1:29">
      <c r="A685" t="s">
        <v>787</v>
      </c>
      <c r="B685">
        <v>34288</v>
      </c>
      <c r="C685">
        <v>-1193</v>
      </c>
    </row>
    <row r="686" spans="1:29">
      <c r="A686" t="s">
        <v>1110</v>
      </c>
      <c r="B686">
        <v>17822</v>
      </c>
      <c r="C686">
        <v>23820</v>
      </c>
    </row>
    <row r="687" spans="1:29">
      <c r="A687" t="s">
        <v>791</v>
      </c>
    </row>
    <row r="688" spans="1:29">
      <c r="A688" t="s">
        <v>792</v>
      </c>
      <c r="B688">
        <v>5419</v>
      </c>
      <c r="C688">
        <v>5431</v>
      </c>
    </row>
    <row r="689" spans="1:29">
      <c r="A689" t="s">
        <v>794</v>
      </c>
    </row>
    <row r="690" spans="1:29">
      <c r="A690" t="s">
        <v>795</v>
      </c>
      <c r="B690">
        <v>161</v>
      </c>
      <c r="C690">
        <v>29</v>
      </c>
    </row>
    <row r="691" spans="1:29">
      <c r="A691" t="s">
        <v>1111</v>
      </c>
      <c r="B691">
        <v>1251</v>
      </c>
      <c r="C691">
        <v>1982</v>
      </c>
    </row>
    <row r="692" spans="1:29">
      <c r="A692" t="s">
        <v>949</v>
      </c>
    </row>
    <row r="693" spans="1:29">
      <c r="A693" t="s">
        <v>798</v>
      </c>
    </row>
    <row r="694" spans="1:29">
      <c r="A694" t="s">
        <v>1112</v>
      </c>
      <c r="B694">
        <v>6880</v>
      </c>
      <c r="C694">
        <v>7442</v>
      </c>
    </row>
    <row r="695" spans="1:29">
      <c r="A695" t="s">
        <v>801</v>
      </c>
      <c r="B695">
        <v>45230</v>
      </c>
      <c r="C695">
        <v>15185</v>
      </c>
    </row>
    <row r="696" spans="1:29">
      <c r="A696" t="s">
        <v>802</v>
      </c>
      <c r="B696">
        <v>48</v>
      </c>
      <c r="C696">
        <v>1067</v>
      </c>
    </row>
    <row r="697" spans="1:29">
      <c r="A697" t="s">
        <v>804</v>
      </c>
      <c r="B697">
        <v>45278</v>
      </c>
      <c r="C697">
        <v>16252</v>
      </c>
    </row>
    <row r="698" spans="1:29">
      <c r="A698" t="s">
        <v>805</v>
      </c>
      <c r="B698">
        <v>11285</v>
      </c>
      <c r="C698">
        <v>18311</v>
      </c>
    </row>
    <row r="699" spans="1:29">
      <c r="A699" t="s">
        <v>1113</v>
      </c>
      <c r="B699">
        <v>56563</v>
      </c>
      <c r="C699">
        <v>34563</v>
      </c>
    </row>
    <row r="700" spans="1:29">
      <c r="A700" t="s">
        <v>808</v>
      </c>
      <c r="B700">
        <v>1728</v>
      </c>
      <c r="C700">
        <v>148</v>
      </c>
    </row>
    <row r="701" spans="1:29">
      <c r="A701" t="s">
        <v>1114</v>
      </c>
      <c r="B701">
        <v>58291</v>
      </c>
      <c r="C701">
        <v>34711</v>
      </c>
    </row>
    <row r="705" spans="1:29">
      <c r="A705" t="s">
        <v>1115</v>
      </c>
    </row>
    <row r="706" spans="1:29">
      <c r="A706" t="s">
        <v>830</v>
      </c>
      <c r="B706" t="s">
        <v>1116</v>
      </c>
      <c r="C706" t="s">
        <v>1117</v>
      </c>
    </row>
    <row r="707" spans="1:29">
      <c r="A707" t="s">
        <v>903</v>
      </c>
    </row>
    <row r="708" spans="1:29">
      <c r="A708" t="s">
        <v>743</v>
      </c>
    </row>
    <row r="709" spans="1:29">
      <c r="A709" t="s">
        <v>744</v>
      </c>
      <c r="B709">
        <v>31851</v>
      </c>
      <c r="C709">
        <v>52075</v>
      </c>
    </row>
    <row r="710" spans="1:29">
      <c r="A710" t="s">
        <v>747</v>
      </c>
      <c r="B710">
        <v>282983</v>
      </c>
      <c r="C710">
        <v>277400</v>
      </c>
    </row>
    <row r="711" spans="1:29">
      <c r="A711" t="s">
        <v>749</v>
      </c>
      <c r="B711">
        <v>464246</v>
      </c>
      <c r="C711">
        <v>394888</v>
      </c>
    </row>
    <row r="712" spans="1:29">
      <c r="A712" t="s">
        <v>750</v>
      </c>
      <c r="B712">
        <v>-80559</v>
      </c>
      <c r="C712">
        <v>-74812</v>
      </c>
    </row>
    <row r="713" spans="1:29">
      <c r="A713" t="s">
        <v>753</v>
      </c>
      <c r="B713">
        <v>383687</v>
      </c>
      <c r="C713">
        <v>320076</v>
      </c>
    </row>
    <row r="714" spans="1:29">
      <c r="A714" t="s">
        <v>728</v>
      </c>
    </row>
    <row r="715" spans="1:29">
      <c r="A715" t="s">
        <v>1105</v>
      </c>
      <c r="B715">
        <v>-157467</v>
      </c>
      <c r="C715">
        <v>-158443</v>
      </c>
    </row>
    <row r="716" spans="1:29">
      <c r="A716" t="s">
        <v>1106</v>
      </c>
      <c r="B716">
        <v>24680</v>
      </c>
      <c r="C716">
        <v>15775</v>
      </c>
    </row>
    <row r="717" spans="1:29">
      <c r="A717" t="s">
        <v>757</v>
      </c>
      <c r="B717">
        <v>-132787</v>
      </c>
      <c r="C717">
        <v>-142668</v>
      </c>
    </row>
    <row r="718" spans="1:29">
      <c r="A718" t="s">
        <v>1107</v>
      </c>
      <c r="B718">
        <v>250900</v>
      </c>
      <c r="C718">
        <v>177408</v>
      </c>
    </row>
    <row r="719" spans="1:29">
      <c r="A719" t="s">
        <v>760</v>
      </c>
    </row>
    <row r="720" spans="1:29">
      <c r="A720" t="s">
        <v>1118</v>
      </c>
      <c r="B720">
        <v>2878</v>
      </c>
      <c r="C720">
        <v>4086</v>
      </c>
    </row>
    <row r="721" spans="1:29">
      <c r="A721" t="s">
        <v>762</v>
      </c>
      <c r="B721">
        <v>-5131</v>
      </c>
      <c r="C721">
        <v>12542</v>
      </c>
    </row>
    <row r="722" spans="1:29">
      <c r="A722" t="s">
        <v>943</v>
      </c>
    </row>
    <row r="723" spans="1:29">
      <c r="A723" t="s">
        <v>764</v>
      </c>
      <c r="B723">
        <v>-2253</v>
      </c>
      <c r="C723">
        <v>16628</v>
      </c>
    </row>
    <row r="724" spans="1:29">
      <c r="A724" t="s">
        <v>767</v>
      </c>
      <c r="B724">
        <v>248647</v>
      </c>
      <c r="C724">
        <v>194036</v>
      </c>
    </row>
    <row r="725" spans="1:29">
      <c r="A725" t="s">
        <v>768</v>
      </c>
    </row>
    <row r="726" spans="1:29">
      <c r="A726" t="s">
        <v>769</v>
      </c>
      <c r="B726">
        <v>248647</v>
      </c>
      <c r="C726">
        <v>194036</v>
      </c>
    </row>
    <row r="727" spans="1:29">
      <c r="A727" t="s">
        <v>1075</v>
      </c>
    </row>
    <row r="728" spans="1:29">
      <c r="A728" t="s">
        <v>773</v>
      </c>
    </row>
    <row r="729" spans="1:29">
      <c r="A729" t="s">
        <v>774</v>
      </c>
      <c r="B729">
        <v>275816</v>
      </c>
      <c r="C729">
        <v>256239</v>
      </c>
    </row>
    <row r="730" spans="1:29">
      <c r="A730" t="s">
        <v>776</v>
      </c>
      <c r="B730">
        <v>-81581</v>
      </c>
      <c r="C730">
        <v>-108698</v>
      </c>
    </row>
    <row r="731" spans="1:29">
      <c r="A731" t="s">
        <v>1109</v>
      </c>
      <c r="B731">
        <v>15444</v>
      </c>
      <c r="C731">
        <v>47199</v>
      </c>
    </row>
    <row r="732" spans="1:29">
      <c r="A732" t="s">
        <v>781</v>
      </c>
      <c r="B732">
        <v>209679</v>
      </c>
      <c r="C732">
        <v>194740</v>
      </c>
    </row>
    <row r="733" spans="1:29">
      <c r="A733" t="s">
        <v>782</v>
      </c>
      <c r="B733">
        <v>63</v>
      </c>
      <c r="C733">
        <v>57</v>
      </c>
    </row>
    <row r="734" spans="1:29">
      <c r="A734" t="s">
        <v>784</v>
      </c>
      <c r="B734">
        <v>209742</v>
      </c>
      <c r="C734">
        <v>194797</v>
      </c>
    </row>
    <row r="735" spans="1:29">
      <c r="A735" t="s">
        <v>787</v>
      </c>
      <c r="B735">
        <v>38905</v>
      </c>
      <c r="C735">
        <v>-761</v>
      </c>
    </row>
    <row r="736" spans="1:29">
      <c r="A736" t="s">
        <v>1110</v>
      </c>
      <c r="B736">
        <v>41555</v>
      </c>
      <c r="C736">
        <v>29498</v>
      </c>
    </row>
    <row r="737" spans="1:29">
      <c r="A737" t="s">
        <v>791</v>
      </c>
    </row>
    <row r="738" spans="1:29">
      <c r="A738" t="s">
        <v>1119</v>
      </c>
      <c r="B738">
        <v>26</v>
      </c>
      <c r="C738">
        <v>2</v>
      </c>
    </row>
    <row r="739" spans="1:29">
      <c r="A739" t="s">
        <v>1083</v>
      </c>
      <c r="B739">
        <v>1015737</v>
      </c>
      <c r="C739">
        <v>965116</v>
      </c>
    </row>
    <row r="740" spans="1:29">
      <c r="A740" t="s">
        <v>795</v>
      </c>
      <c r="B740">
        <v>10961</v>
      </c>
      <c r="C740">
        <v>10925</v>
      </c>
    </row>
    <row r="741" spans="1:29">
      <c r="A741" t="s">
        <v>1111</v>
      </c>
      <c r="B741">
        <v>181</v>
      </c>
      <c r="C741">
        <v>104</v>
      </c>
    </row>
    <row r="742" spans="1:29">
      <c r="A742" t="s">
        <v>1120</v>
      </c>
      <c r="B742">
        <v>2602</v>
      </c>
      <c r="C742">
        <v>3314</v>
      </c>
    </row>
    <row r="743" spans="1:29">
      <c r="A743" t="s">
        <v>798</v>
      </c>
    </row>
    <row r="744" spans="1:29">
      <c r="A744" t="s">
        <v>1112</v>
      </c>
      <c r="B744">
        <v>13770</v>
      </c>
      <c r="C744">
        <v>14345</v>
      </c>
    </row>
    <row r="745" spans="1:29">
      <c r="A745" t="s">
        <v>801</v>
      </c>
      <c r="B745">
        <v>66690</v>
      </c>
      <c r="C745">
        <v>14392</v>
      </c>
    </row>
    <row r="746" spans="1:29">
      <c r="A746" t="s">
        <v>802</v>
      </c>
      <c r="B746">
        <v>402</v>
      </c>
      <c r="C746">
        <v>732</v>
      </c>
    </row>
    <row r="747" spans="1:29">
      <c r="A747" t="s">
        <v>804</v>
      </c>
      <c r="B747">
        <v>67092</v>
      </c>
      <c r="C747">
        <v>15124</v>
      </c>
    </row>
    <row r="748" spans="1:29">
      <c r="A748" t="s">
        <v>805</v>
      </c>
      <c r="B748">
        <v>9057</v>
      </c>
      <c r="C748">
        <v>16455</v>
      </c>
    </row>
    <row r="749" spans="1:29">
      <c r="A749" t="s">
        <v>1113</v>
      </c>
      <c r="B749">
        <v>76149</v>
      </c>
      <c r="C749">
        <v>31579</v>
      </c>
    </row>
    <row r="750" spans="1:29">
      <c r="A750" t="s">
        <v>808</v>
      </c>
      <c r="B750">
        <v>14443</v>
      </c>
      <c r="C750">
        <v>-1962</v>
      </c>
    </row>
    <row r="751" spans="1:29">
      <c r="A751" t="s">
        <v>1114</v>
      </c>
      <c r="B751">
        <v>90592</v>
      </c>
      <c r="C751">
        <v>29617</v>
      </c>
    </row>
    <row r="755" spans="1:29">
      <c r="A755" t="s">
        <v>1121</v>
      </c>
    </row>
    <row r="756" spans="1:29">
      <c r="A756" t="s">
        <v>830</v>
      </c>
      <c r="B756" t="s">
        <v>900</v>
      </c>
      <c r="C756" t="s">
        <v>901</v>
      </c>
    </row>
    <row r="757" spans="1:29">
      <c r="A757" t="s">
        <v>903</v>
      </c>
    </row>
    <row r="758" spans="1:29">
      <c r="A758" t="s">
        <v>743</v>
      </c>
    </row>
    <row r="759" spans="1:29">
      <c r="A759" t="s">
        <v>744</v>
      </c>
      <c r="B759" s="2">
        <v>130841</v>
      </c>
      <c r="C759" s="2">
        <v>75964</v>
      </c>
    </row>
    <row r="760" spans="1:29">
      <c r="A760" t="s">
        <v>747</v>
      </c>
      <c r="B760" s="2">
        <v>328681</v>
      </c>
      <c r="C760" s="2">
        <v>257916</v>
      </c>
    </row>
    <row r="761" spans="1:29">
      <c r="A761" t="s">
        <v>749</v>
      </c>
      <c r="B761" s="2">
        <v>487999</v>
      </c>
      <c r="C761" s="2">
        <v>353993</v>
      </c>
    </row>
    <row r="762" spans="1:29">
      <c r="A762" t="s">
        <v>750</v>
      </c>
      <c r="B762" s="2">
        <v>-129015</v>
      </c>
      <c r="C762" s="2">
        <v>-120273</v>
      </c>
    </row>
    <row r="763" spans="1:29">
      <c r="A763" t="s">
        <v>753</v>
      </c>
      <c r="B763" s="2">
        <v>388283</v>
      </c>
      <c r="C763" s="2">
        <v>350264</v>
      </c>
    </row>
    <row r="764" spans="1:29">
      <c r="A764" t="s">
        <v>728</v>
      </c>
    </row>
    <row r="765" spans="1:29">
      <c r="A765" t="s">
        <v>1105</v>
      </c>
      <c r="B765" s="2">
        <v>-331322</v>
      </c>
      <c r="C765" s="2">
        <v>-287173</v>
      </c>
    </row>
    <row r="766" spans="1:29">
      <c r="A766" t="s">
        <v>1106</v>
      </c>
      <c r="B766" s="2">
        <v>39682</v>
      </c>
      <c r="C766" s="2">
        <v>20211</v>
      </c>
    </row>
    <row r="767" spans="1:29">
      <c r="A767" t="s">
        <v>757</v>
      </c>
      <c r="B767" s="2">
        <v>-291640</v>
      </c>
      <c r="C767" s="2">
        <v>-266962</v>
      </c>
    </row>
    <row r="768" spans="1:29">
      <c r="A768" t="s">
        <v>1107</v>
      </c>
      <c r="B768" s="2">
        <v>403389</v>
      </c>
      <c r="C768" s="2">
        <v>325292</v>
      </c>
    </row>
    <row r="769" spans="1:29">
      <c r="A769" t="s">
        <v>760</v>
      </c>
    </row>
    <row r="770" spans="1:29">
      <c r="A770" t="s">
        <v>1118</v>
      </c>
      <c r="B770" s="2">
        <v>18506</v>
      </c>
      <c r="C770" s="2">
        <v>5807</v>
      </c>
    </row>
    <row r="771" spans="1:29">
      <c r="A771" t="s">
        <v>762</v>
      </c>
      <c r="B771" s="2">
        <v>-22449</v>
      </c>
      <c r="C771" s="2">
        <v>12363</v>
      </c>
    </row>
    <row r="772" spans="1:29">
      <c r="A772" t="s">
        <v>943</v>
      </c>
    </row>
    <row r="773" spans="1:29">
      <c r="A773" t="s">
        <v>764</v>
      </c>
      <c r="B773" s="2">
        <v>-3943</v>
      </c>
      <c r="C773" s="2">
        <v>18170</v>
      </c>
    </row>
    <row r="774" spans="1:29">
      <c r="A774" t="s">
        <v>767</v>
      </c>
      <c r="B774" s="2">
        <v>399446</v>
      </c>
      <c r="C774" s="2">
        <v>343462</v>
      </c>
    </row>
    <row r="775" spans="1:29">
      <c r="A775" t="s">
        <v>768</v>
      </c>
    </row>
    <row r="776" spans="1:29">
      <c r="A776" t="s">
        <v>769</v>
      </c>
      <c r="B776" s="2">
        <v>399446</v>
      </c>
      <c r="C776" s="2">
        <v>343462</v>
      </c>
    </row>
    <row r="777" spans="1:29">
      <c r="A777" t="s">
        <v>1075</v>
      </c>
    </row>
    <row r="778" spans="1:29">
      <c r="A778" t="s">
        <v>773</v>
      </c>
    </row>
    <row r="779" spans="1:29">
      <c r="A779" t="s">
        <v>1122</v>
      </c>
      <c r="B779" s="2">
        <v>566644</v>
      </c>
      <c r="C779" s="2">
        <v>450203</v>
      </c>
    </row>
    <row r="780" spans="1:29">
      <c r="A780" t="s">
        <v>776</v>
      </c>
      <c r="B780" s="2">
        <v>-216932</v>
      </c>
      <c r="C780" s="2">
        <v>-180062</v>
      </c>
    </row>
    <row r="781" spans="1:29">
      <c r="A781" t="s">
        <v>1109</v>
      </c>
      <c r="B781" s="2">
        <v>38571</v>
      </c>
      <c r="C781" s="2">
        <v>80123</v>
      </c>
    </row>
    <row r="782" spans="1:29">
      <c r="A782" t="s">
        <v>781</v>
      </c>
      <c r="B782" s="2">
        <v>388283</v>
      </c>
      <c r="C782" s="2">
        <v>350264</v>
      </c>
    </row>
    <row r="783" spans="1:29">
      <c r="A783" t="s">
        <v>782</v>
      </c>
      <c r="B783">
        <v>176</v>
      </c>
      <c r="C783">
        <v>199</v>
      </c>
    </row>
    <row r="784" spans="1:29">
      <c r="A784" t="s">
        <v>784</v>
      </c>
      <c r="B784" s="2">
        <v>388459</v>
      </c>
      <c r="C784" s="2">
        <v>350463</v>
      </c>
    </row>
    <row r="785" spans="1:29">
      <c r="A785" t="s">
        <v>787</v>
      </c>
      <c r="B785" s="2">
        <v>10987</v>
      </c>
      <c r="C785" s="2">
        <v>-7001</v>
      </c>
    </row>
    <row r="786" spans="1:29">
      <c r="A786" t="s">
        <v>1110</v>
      </c>
      <c r="B786" s="2">
        <v>53450</v>
      </c>
      <c r="C786" s="2">
        <v>49219</v>
      </c>
    </row>
    <row r="787" spans="1:29">
      <c r="A787" t="s">
        <v>791</v>
      </c>
    </row>
    <row r="788" spans="1:29">
      <c r="A788" t="s">
        <v>1119</v>
      </c>
      <c r="B788">
        <v>5</v>
      </c>
    </row>
    <row r="789" spans="1:29">
      <c r="A789" t="s">
        <v>794</v>
      </c>
    </row>
    <row r="790" spans="1:29">
      <c r="A790" t="s">
        <v>795</v>
      </c>
      <c r="B790" s="2">
        <v>18160</v>
      </c>
      <c r="C790" s="2">
        <v>17786</v>
      </c>
    </row>
    <row r="791" spans="1:29">
      <c r="A791" t="s">
        <v>796</v>
      </c>
      <c r="B791">
        <v>193</v>
      </c>
      <c r="C791">
        <v>138</v>
      </c>
    </row>
    <row r="792" spans="1:29">
      <c r="A792" t="s">
        <v>949</v>
      </c>
      <c r="B792" s="2">
        <v>4099</v>
      </c>
      <c r="C792" s="2">
        <v>4531</v>
      </c>
    </row>
    <row r="793" spans="1:29">
      <c r="A793" t="s">
        <v>798</v>
      </c>
    </row>
    <row r="794" spans="1:29">
      <c r="A794" t="s">
        <v>1112</v>
      </c>
      <c r="B794" s="2">
        <v>22494</v>
      </c>
      <c r="C794" s="2">
        <v>22460</v>
      </c>
    </row>
    <row r="795" spans="1:29">
      <c r="A795" t="s">
        <v>801</v>
      </c>
      <c r="B795" s="2">
        <v>41943</v>
      </c>
      <c r="C795" s="2">
        <v>19758</v>
      </c>
    </row>
    <row r="796" spans="1:29">
      <c r="A796" t="s">
        <v>802</v>
      </c>
      <c r="B796">
        <v>832</v>
      </c>
      <c r="C796">
        <v>874</v>
      </c>
    </row>
    <row r="797" spans="1:29">
      <c r="A797" t="s">
        <v>804</v>
      </c>
      <c r="B797" s="2">
        <v>42775</v>
      </c>
      <c r="C797" s="2">
        <v>20632</v>
      </c>
    </row>
    <row r="798" spans="1:29">
      <c r="A798" t="s">
        <v>805</v>
      </c>
      <c r="B798" s="2">
        <v>8044</v>
      </c>
      <c r="C798" s="2">
        <v>14241</v>
      </c>
    </row>
    <row r="799" spans="1:29">
      <c r="A799" t="s">
        <v>1113</v>
      </c>
      <c r="B799" s="2">
        <v>50819</v>
      </c>
      <c r="C799" s="2">
        <v>34873</v>
      </c>
    </row>
    <row r="800" spans="1:29">
      <c r="A800" t="s">
        <v>808</v>
      </c>
      <c r="B800">
        <v>-878</v>
      </c>
      <c r="C800" s="2">
        <v>-7454</v>
      </c>
    </row>
    <row r="801" spans="1:29">
      <c r="A801" t="s">
        <v>1114</v>
      </c>
      <c r="B801" s="2">
        <v>49941</v>
      </c>
      <c r="C801" s="2">
        <v>27419</v>
      </c>
    </row>
    <row r="805" spans="1:29">
      <c r="A805" t="s">
        <v>1123</v>
      </c>
    </row>
    <row r="806" spans="1:29">
      <c r="A806" t="s">
        <v>830</v>
      </c>
      <c r="B806" t="s">
        <v>1124</v>
      </c>
      <c r="C806" t="s">
        <v>1125</v>
      </c>
    </row>
    <row r="807" spans="1:29">
      <c r="A807" t="s">
        <v>903</v>
      </c>
    </row>
    <row r="808" spans="1:29">
      <c r="A808" t="s">
        <v>906</v>
      </c>
    </row>
    <row r="809" spans="1:29">
      <c r="A809" t="s">
        <v>744</v>
      </c>
      <c r="B809">
        <v>46301</v>
      </c>
      <c r="C809">
        <v>75964</v>
      </c>
    </row>
    <row r="810" spans="1:29">
      <c r="A810" t="s">
        <v>747</v>
      </c>
      <c r="B810">
        <v>281856</v>
      </c>
      <c r="C810">
        <v>257916</v>
      </c>
    </row>
    <row r="811" spans="1:29">
      <c r="A811" t="s">
        <v>910</v>
      </c>
      <c r="B811">
        <v>1389155</v>
      </c>
      <c r="C811">
        <v>1314223</v>
      </c>
    </row>
    <row r="812" spans="1:29">
      <c r="A812" t="s">
        <v>750</v>
      </c>
      <c r="B812">
        <v>-213209</v>
      </c>
      <c r="C812">
        <v>-206151</v>
      </c>
    </row>
    <row r="813" spans="1:29">
      <c r="A813" t="s">
        <v>913</v>
      </c>
      <c r="B813">
        <v>1175946</v>
      </c>
      <c r="C813">
        <v>1108072</v>
      </c>
    </row>
    <row r="814" spans="1:29">
      <c r="A814" t="s">
        <v>915</v>
      </c>
    </row>
    <row r="815" spans="1:29">
      <c r="A815" t="s">
        <v>1105</v>
      </c>
      <c r="B815">
        <v>-522912</v>
      </c>
      <c r="C815">
        <v>-497272</v>
      </c>
    </row>
    <row r="816" spans="1:29">
      <c r="A816" t="s">
        <v>1106</v>
      </c>
      <c r="B816">
        <v>23622</v>
      </c>
      <c r="C816">
        <v>19802</v>
      </c>
    </row>
    <row r="817" spans="1:29">
      <c r="A817" t="s">
        <v>757</v>
      </c>
      <c r="B817">
        <v>-457852</v>
      </c>
      <c r="C817">
        <v>-462053</v>
      </c>
    </row>
    <row r="818" spans="1:29">
      <c r="A818" t="s">
        <v>1107</v>
      </c>
      <c r="B818">
        <v>718094</v>
      </c>
      <c r="C818">
        <v>646019</v>
      </c>
    </row>
    <row r="819" spans="1:29">
      <c r="A819" t="s">
        <v>942</v>
      </c>
      <c r="B819">
        <v>690519</v>
      </c>
      <c r="C819">
        <v>722989</v>
      </c>
    </row>
    <row r="820" spans="1:29">
      <c r="A820" t="s">
        <v>761</v>
      </c>
      <c r="B820">
        <v>26578</v>
      </c>
      <c r="C820">
        <v>-6888</v>
      </c>
    </row>
    <row r="821" spans="1:29">
      <c r="A821" t="s">
        <v>762</v>
      </c>
      <c r="B821">
        <v>-22357</v>
      </c>
      <c r="C821">
        <v>1864</v>
      </c>
    </row>
    <row r="822" spans="1:29">
      <c r="A822" t="s">
        <v>943</v>
      </c>
      <c r="B822">
        <v>4221</v>
      </c>
      <c r="C822">
        <v>-5024</v>
      </c>
    </row>
    <row r="823" spans="1:29">
      <c r="A823" t="s">
        <v>930</v>
      </c>
      <c r="B823">
        <v>10</v>
      </c>
      <c r="C823">
        <v>355238</v>
      </c>
    </row>
    <row r="824" spans="1:29">
      <c r="A824" t="s">
        <v>932</v>
      </c>
      <c r="B824">
        <v>722315</v>
      </c>
      <c r="C824">
        <v>640995</v>
      </c>
    </row>
    <row r="825" spans="1:29">
      <c r="A825" t="s">
        <v>933</v>
      </c>
    </row>
    <row r="826" spans="1:29">
      <c r="A826" t="s">
        <v>934</v>
      </c>
      <c r="B826">
        <v>722315</v>
      </c>
      <c r="C826">
        <v>640995</v>
      </c>
    </row>
    <row r="827" spans="1:29">
      <c r="A827" t="s">
        <v>1075</v>
      </c>
    </row>
    <row r="828" spans="1:29">
      <c r="A828" t="s">
        <v>1126</v>
      </c>
    </row>
    <row r="829" spans="1:29">
      <c r="A829" t="s">
        <v>774</v>
      </c>
      <c r="B829">
        <v>954944</v>
      </c>
      <c r="C829">
        <v>815973</v>
      </c>
    </row>
    <row r="830" spans="1:29">
      <c r="A830" t="s">
        <v>776</v>
      </c>
      <c r="B830">
        <v>-357146</v>
      </c>
      <c r="C830">
        <v>-307998</v>
      </c>
    </row>
    <row r="831" spans="1:29">
      <c r="A831" t="s">
        <v>778</v>
      </c>
      <c r="B831">
        <v>96471</v>
      </c>
      <c r="C831">
        <v>128692</v>
      </c>
    </row>
    <row r="832" spans="1:29">
      <c r="A832" t="s">
        <v>781</v>
      </c>
      <c r="B832">
        <v>694269</v>
      </c>
      <c r="C832">
        <v>636667</v>
      </c>
    </row>
    <row r="833" spans="1:29">
      <c r="A833" t="s">
        <v>1127</v>
      </c>
      <c r="B833">
        <v>433</v>
      </c>
      <c r="C833">
        <v>326</v>
      </c>
    </row>
    <row r="834" spans="1:29">
      <c r="A834" t="s">
        <v>784</v>
      </c>
      <c r="B834">
        <v>694702</v>
      </c>
      <c r="C834">
        <v>636993</v>
      </c>
    </row>
    <row r="835" spans="1:29">
      <c r="A835" t="s">
        <v>1128</v>
      </c>
      <c r="B835">
        <v>27613</v>
      </c>
      <c r="C835">
        <v>4002</v>
      </c>
    </row>
    <row r="836" spans="1:29">
      <c r="A836" t="s">
        <v>947</v>
      </c>
      <c r="B836">
        <v>75129</v>
      </c>
      <c r="C836">
        <v>78024</v>
      </c>
    </row>
    <row r="837" spans="1:29">
      <c r="A837" t="s">
        <v>948</v>
      </c>
    </row>
    <row r="838" spans="1:29">
      <c r="A838" t="s">
        <v>792</v>
      </c>
      <c r="B838">
        <v>127</v>
      </c>
      <c r="C838">
        <v>60</v>
      </c>
    </row>
    <row r="839" spans="1:29">
      <c r="A839" t="s">
        <v>794</v>
      </c>
    </row>
    <row r="840" spans="1:29">
      <c r="A840" t="s">
        <v>795</v>
      </c>
      <c r="B840">
        <v>31511</v>
      </c>
      <c r="C840">
        <v>29324</v>
      </c>
    </row>
    <row r="841" spans="1:29">
      <c r="A841" t="s">
        <v>796</v>
      </c>
      <c r="B841">
        <v>603</v>
      </c>
      <c r="C841">
        <v>257</v>
      </c>
    </row>
    <row r="842" spans="1:29">
      <c r="A842" t="s">
        <v>949</v>
      </c>
      <c r="B842">
        <v>8277</v>
      </c>
      <c r="C842">
        <v>8991</v>
      </c>
    </row>
    <row r="843" spans="1:29">
      <c r="A843" t="s">
        <v>798</v>
      </c>
    </row>
    <row r="844" spans="1:29">
      <c r="A844" t="s">
        <v>1112</v>
      </c>
      <c r="B844">
        <v>40518</v>
      </c>
      <c r="C844">
        <v>38632</v>
      </c>
    </row>
    <row r="845" spans="1:29">
      <c r="A845" t="s">
        <v>951</v>
      </c>
      <c r="B845">
        <v>62224</v>
      </c>
      <c r="C845">
        <v>43394</v>
      </c>
    </row>
    <row r="846" spans="1:29">
      <c r="A846" t="s">
        <v>952</v>
      </c>
      <c r="B846">
        <v>-813</v>
      </c>
      <c r="C846">
        <v>4300</v>
      </c>
    </row>
    <row r="847" spans="1:29">
      <c r="A847" t="s">
        <v>953</v>
      </c>
      <c r="B847">
        <v>61411</v>
      </c>
      <c r="C847">
        <v>47694</v>
      </c>
    </row>
    <row r="848" spans="1:29">
      <c r="A848" t="s">
        <v>954</v>
      </c>
      <c r="B848">
        <v>8521</v>
      </c>
      <c r="C848">
        <v>13166</v>
      </c>
    </row>
    <row r="849" spans="1:29">
      <c r="A849" t="s">
        <v>955</v>
      </c>
      <c r="B849">
        <v>69932</v>
      </c>
      <c r="C849">
        <v>60860</v>
      </c>
    </row>
    <row r="850" spans="1:29">
      <c r="A850" t="s">
        <v>956</v>
      </c>
      <c r="B850">
        <v>27111</v>
      </c>
      <c r="C850">
        <v>-15488</v>
      </c>
    </row>
    <row r="851" spans="1:29">
      <c r="A851" t="s">
        <v>957</v>
      </c>
      <c r="B851">
        <v>97043</v>
      </c>
      <c r="C851">
        <v>45372</v>
      </c>
    </row>
    <row r="855" spans="1:29">
      <c r="A855" t="s">
        <v>1129</v>
      </c>
    </row>
    <row r="856" spans="1:29">
      <c r="A856" t="s">
        <v>830</v>
      </c>
      <c r="B856" t="s">
        <v>900</v>
      </c>
      <c r="C856" t="s">
        <v>901</v>
      </c>
    </row>
    <row r="857" spans="1:29">
      <c r="A857" t="s">
        <v>903</v>
      </c>
    </row>
    <row r="858" spans="1:29">
      <c r="A858" t="s">
        <v>906</v>
      </c>
    </row>
    <row r="859" spans="1:29">
      <c r="A859" t="s">
        <v>744</v>
      </c>
      <c r="B859">
        <v>75021</v>
      </c>
      <c r="C859">
        <v>75964</v>
      </c>
    </row>
    <row r="860" spans="1:29">
      <c r="A860" t="s">
        <v>747</v>
      </c>
      <c r="B860">
        <v>274900</v>
      </c>
      <c r="C860">
        <v>257916</v>
      </c>
    </row>
    <row r="861" spans="1:29">
      <c r="A861" t="s">
        <v>910</v>
      </c>
      <c r="B861">
        <v>385071</v>
      </c>
      <c r="C861">
        <v>353993</v>
      </c>
    </row>
    <row r="862" spans="1:29">
      <c r="A862" t="s">
        <v>750</v>
      </c>
      <c r="B862">
        <v>-275042</v>
      </c>
      <c r="C862">
        <v>-248375</v>
      </c>
    </row>
    <row r="863" spans="1:29">
      <c r="A863" t="s">
        <v>913</v>
      </c>
      <c r="B863">
        <v>1720543</v>
      </c>
      <c r="C863">
        <v>1634735</v>
      </c>
    </row>
    <row r="864" spans="1:29">
      <c r="A864" t="s">
        <v>915</v>
      </c>
    </row>
    <row r="865" spans="1:29">
      <c r="A865" t="s">
        <v>754</v>
      </c>
      <c r="B865">
        <v>-677554</v>
      </c>
      <c r="C865">
        <v>-644968</v>
      </c>
    </row>
    <row r="866" spans="1:29">
      <c r="A866" t="s">
        <v>756</v>
      </c>
      <c r="B866">
        <v>89074</v>
      </c>
      <c r="C866">
        <v>59657</v>
      </c>
    </row>
    <row r="867" spans="1:29">
      <c r="A867" t="s">
        <v>919</v>
      </c>
      <c r="B867">
        <v>-588480</v>
      </c>
      <c r="C867">
        <v>-585311</v>
      </c>
    </row>
    <row r="868" spans="1:29">
      <c r="A868" t="s">
        <v>921</v>
      </c>
      <c r="B868">
        <v>857021</v>
      </c>
      <c r="C868">
        <v>801049</v>
      </c>
    </row>
    <row r="869" spans="1:29">
      <c r="A869" t="s">
        <v>942</v>
      </c>
    </row>
    <row r="870" spans="1:29">
      <c r="A870" t="s">
        <v>761</v>
      </c>
      <c r="B870">
        <v>40482</v>
      </c>
      <c r="C870">
        <v>-3312</v>
      </c>
    </row>
    <row r="871" spans="1:29">
      <c r="A871" t="s">
        <v>762</v>
      </c>
      <c r="B871">
        <v>-25685</v>
      </c>
      <c r="C871">
        <v>-7251</v>
      </c>
    </row>
    <row r="872" spans="1:29">
      <c r="A872" t="s">
        <v>943</v>
      </c>
      <c r="B872">
        <v>14797</v>
      </c>
      <c r="C872">
        <v>-10563</v>
      </c>
    </row>
    <row r="873" spans="1:29">
      <c r="A873" t="s">
        <v>930</v>
      </c>
      <c r="B873">
        <v>29594</v>
      </c>
      <c r="C873">
        <v>-21126</v>
      </c>
    </row>
    <row r="874" spans="1:29">
      <c r="A874" t="s">
        <v>932</v>
      </c>
      <c r="B874">
        <v>886615</v>
      </c>
      <c r="C874">
        <v>779923</v>
      </c>
    </row>
    <row r="875" spans="1:29">
      <c r="A875" t="s">
        <v>933</v>
      </c>
      <c r="B875">
        <v>2333</v>
      </c>
      <c r="C875">
        <v>141</v>
      </c>
    </row>
    <row r="876" spans="1:29">
      <c r="A876" t="s">
        <v>934</v>
      </c>
      <c r="B876">
        <v>888948</v>
      </c>
      <c r="C876">
        <v>780064</v>
      </c>
    </row>
    <row r="877" spans="1:29">
      <c r="A877" t="s">
        <v>1075</v>
      </c>
    </row>
    <row r="878" spans="1:29">
      <c r="A878" t="s">
        <v>1076</v>
      </c>
    </row>
    <row r="879" spans="1:29">
      <c r="A879" t="s">
        <v>774</v>
      </c>
      <c r="B879">
        <v>1199187</v>
      </c>
      <c r="C879">
        <v>986086</v>
      </c>
    </row>
    <row r="880" spans="1:29">
      <c r="A880" t="s">
        <v>776</v>
      </c>
      <c r="B880">
        <v>-493167</v>
      </c>
      <c r="C880">
        <v>-357205</v>
      </c>
    </row>
    <row r="881" spans="1:29">
      <c r="A881" t="s">
        <v>778</v>
      </c>
      <c r="B881">
        <v>143807</v>
      </c>
      <c r="C881">
        <v>146329</v>
      </c>
    </row>
    <row r="882" spans="1:29">
      <c r="A882" t="s">
        <v>1077</v>
      </c>
      <c r="B882">
        <v>849827</v>
      </c>
      <c r="C882">
        <v>775210</v>
      </c>
    </row>
    <row r="883" spans="1:29">
      <c r="A883" t="s">
        <v>1078</v>
      </c>
      <c r="B883">
        <v>396</v>
      </c>
      <c r="C883">
        <v>850</v>
      </c>
    </row>
    <row r="884" spans="1:29">
      <c r="A884" t="s">
        <v>1079</v>
      </c>
      <c r="B884">
        <v>850223</v>
      </c>
      <c r="C884">
        <v>776060</v>
      </c>
    </row>
    <row r="885" spans="1:29">
      <c r="A885" t="s">
        <v>1080</v>
      </c>
      <c r="B885">
        <v>38725</v>
      </c>
      <c r="C885">
        <v>3994</v>
      </c>
    </row>
    <row r="886" spans="1:29">
      <c r="A886" t="s">
        <v>1130</v>
      </c>
      <c r="B886">
        <v>94054</v>
      </c>
      <c r="C886">
        <v>96507</v>
      </c>
    </row>
    <row r="887" spans="1:29">
      <c r="A887" t="s">
        <v>1082</v>
      </c>
    </row>
    <row r="888" spans="1:29">
      <c r="A888" t="s">
        <v>792</v>
      </c>
      <c r="B888">
        <v>134</v>
      </c>
      <c r="C888">
        <v>72</v>
      </c>
    </row>
    <row r="889" spans="1:29">
      <c r="A889" t="s">
        <v>794</v>
      </c>
    </row>
    <row r="890" spans="1:29">
      <c r="A890" t="s">
        <v>795</v>
      </c>
      <c r="B890">
        <v>37394</v>
      </c>
      <c r="C890">
        <v>38748</v>
      </c>
    </row>
    <row r="891" spans="1:29">
      <c r="A891" t="s">
        <v>796</v>
      </c>
      <c r="B891">
        <v>710</v>
      </c>
      <c r="C891">
        <v>305</v>
      </c>
    </row>
    <row r="892" spans="1:29">
      <c r="A892" t="s">
        <v>949</v>
      </c>
      <c r="B892">
        <v>10704</v>
      </c>
      <c r="C892">
        <v>10383</v>
      </c>
    </row>
    <row r="893" spans="1:29">
      <c r="A893" t="s">
        <v>798</v>
      </c>
    </row>
    <row r="894" spans="1:29">
      <c r="A894" t="s">
        <v>1085</v>
      </c>
      <c r="B894">
        <v>48942</v>
      </c>
      <c r="C894">
        <v>49508</v>
      </c>
    </row>
    <row r="895" spans="1:29">
      <c r="A895" t="s">
        <v>1086</v>
      </c>
      <c r="B895">
        <v>83837</v>
      </c>
      <c r="C895">
        <v>50993</v>
      </c>
    </row>
    <row r="896" spans="1:29">
      <c r="A896" t="s">
        <v>1087</v>
      </c>
      <c r="B896">
        <v>-751</v>
      </c>
      <c r="C896">
        <v>5751</v>
      </c>
    </row>
    <row r="897" spans="1:29">
      <c r="A897" t="s">
        <v>1088</v>
      </c>
      <c r="B897">
        <v>83086</v>
      </c>
      <c r="C897">
        <v>56744</v>
      </c>
    </row>
    <row r="898" spans="1:29">
      <c r="A898" t="s">
        <v>1089</v>
      </c>
      <c r="B898">
        <v>3732</v>
      </c>
      <c r="C898">
        <v>7592</v>
      </c>
    </row>
    <row r="899" spans="1:29">
      <c r="A899" t="s">
        <v>1131</v>
      </c>
      <c r="B899">
        <v>79354</v>
      </c>
      <c r="C899">
        <v>49152</v>
      </c>
    </row>
    <row r="900" spans="1:29">
      <c r="A900" t="s">
        <v>1091</v>
      </c>
      <c r="B900">
        <v>40997</v>
      </c>
      <c r="C900">
        <v>-27190</v>
      </c>
    </row>
    <row r="901" spans="1:29">
      <c r="A901" t="s">
        <v>1132</v>
      </c>
      <c r="B901">
        <v>120351</v>
      </c>
      <c r="C901">
        <v>21962</v>
      </c>
    </row>
    <row r="905" spans="1:29">
      <c r="A905" t="s">
        <v>1133</v>
      </c>
    </row>
    <row r="906" spans="1:29">
      <c r="A906" t="s">
        <v>830</v>
      </c>
      <c r="B906" t="s">
        <v>1134</v>
      </c>
      <c r="C906" t="s">
        <v>1135</v>
      </c>
    </row>
    <row r="907" spans="1:29">
      <c r="A907" t="s">
        <v>903</v>
      </c>
    </row>
    <row r="908" spans="1:29">
      <c r="A908" t="s">
        <v>743</v>
      </c>
    </row>
    <row r="909" spans="1:29">
      <c r="A909" t="s">
        <v>1099</v>
      </c>
      <c r="B909" s="2">
        <v>57328</v>
      </c>
      <c r="C909" s="2">
        <v>75964</v>
      </c>
    </row>
    <row r="910" spans="1:29">
      <c r="A910" t="s">
        <v>747</v>
      </c>
      <c r="B910" s="2">
        <v>290239</v>
      </c>
      <c r="C910" s="2">
        <v>257916</v>
      </c>
    </row>
    <row r="911" spans="1:29">
      <c r="A911" t="s">
        <v>749</v>
      </c>
      <c r="B911" s="2">
        <v>374486</v>
      </c>
      <c r="C911" s="2">
        <v>353993</v>
      </c>
    </row>
    <row r="912" spans="1:29">
      <c r="A912" t="s">
        <v>750</v>
      </c>
      <c r="B912" s="2">
        <v>2392</v>
      </c>
      <c r="C912">
        <v>170</v>
      </c>
    </row>
    <row r="913" spans="1:29">
      <c r="A913" t="s">
        <v>753</v>
      </c>
      <c r="B913" s="2">
        <v>2056315</v>
      </c>
      <c r="C913" s="2">
        <v>1909346</v>
      </c>
    </row>
    <row r="914" spans="1:29">
      <c r="A914" t="s">
        <v>728</v>
      </c>
    </row>
    <row r="915" spans="1:29">
      <c r="A915" t="s">
        <v>1105</v>
      </c>
      <c r="B915" s="2">
        <v>-314334</v>
      </c>
      <c r="C915" s="2">
        <v>-291995</v>
      </c>
    </row>
    <row r="916" spans="1:29">
      <c r="A916" t="s">
        <v>1106</v>
      </c>
      <c r="B916" s="2">
        <v>104148</v>
      </c>
      <c r="C916" s="2">
        <v>72416</v>
      </c>
    </row>
    <row r="917" spans="1:29">
      <c r="A917" t="s">
        <v>757</v>
      </c>
      <c r="B917" s="2">
        <v>-735781</v>
      </c>
      <c r="C917" s="2">
        <v>-673105</v>
      </c>
    </row>
    <row r="918" spans="1:29">
      <c r="A918" t="s">
        <v>1107</v>
      </c>
      <c r="B918" s="2">
        <v>1006200</v>
      </c>
      <c r="C918" s="2">
        <v>944246</v>
      </c>
    </row>
    <row r="919" spans="1:29">
      <c r="A919" t="s">
        <v>760</v>
      </c>
    </row>
    <row r="920" spans="1:29">
      <c r="A920" t="s">
        <v>1118</v>
      </c>
      <c r="B920" s="2">
        <v>57166</v>
      </c>
      <c r="C920" s="2">
        <v>1525</v>
      </c>
    </row>
    <row r="921" spans="1:29">
      <c r="A921" t="s">
        <v>762</v>
      </c>
      <c r="B921" s="2">
        <v>-43738</v>
      </c>
      <c r="C921" s="2">
        <v>-26097</v>
      </c>
    </row>
    <row r="922" spans="1:29">
      <c r="A922" t="s">
        <v>943</v>
      </c>
      <c r="B922" s="2">
        <v>13428</v>
      </c>
      <c r="C922" s="2">
        <v>-24572</v>
      </c>
    </row>
    <row r="923" spans="1:29">
      <c r="A923" t="s">
        <v>764</v>
      </c>
      <c r="B923" s="2">
        <v>1019628</v>
      </c>
      <c r="C923" s="2">
        <v>919674</v>
      </c>
    </row>
    <row r="924" spans="1:29">
      <c r="A924" t="s">
        <v>767</v>
      </c>
      <c r="B924" s="2">
        <v>1019628</v>
      </c>
      <c r="C924" s="2">
        <v>919674</v>
      </c>
    </row>
    <row r="925" spans="1:29">
      <c r="A925" t="s">
        <v>768</v>
      </c>
    </row>
    <row r="926" spans="1:29">
      <c r="A926" t="s">
        <v>769</v>
      </c>
      <c r="B926" s="2">
        <v>1019628</v>
      </c>
      <c r="C926" s="2">
        <v>919674</v>
      </c>
    </row>
    <row r="927" spans="1:29">
      <c r="A927" t="s">
        <v>1075</v>
      </c>
    </row>
    <row r="928" spans="1:29">
      <c r="A928" t="s">
        <v>773</v>
      </c>
    </row>
    <row r="929" spans="1:29">
      <c r="A929" t="s">
        <v>1122</v>
      </c>
      <c r="B929" s="2">
        <v>1429865</v>
      </c>
      <c r="C929" s="2">
        <v>1165852</v>
      </c>
    </row>
    <row r="930" spans="1:29">
      <c r="A930" t="s">
        <v>776</v>
      </c>
      <c r="B930" s="2">
        <v>-620787</v>
      </c>
      <c r="C930" s="2">
        <v>-395866</v>
      </c>
    </row>
    <row r="931" spans="1:29">
      <c r="A931" t="s">
        <v>1109</v>
      </c>
      <c r="B931" s="2">
        <v>183657</v>
      </c>
      <c r="C931" s="2">
        <v>133667</v>
      </c>
    </row>
    <row r="932" spans="1:29">
      <c r="A932" t="s">
        <v>781</v>
      </c>
      <c r="B932" s="2">
        <v>992735</v>
      </c>
      <c r="C932" s="2">
        <v>903653</v>
      </c>
    </row>
    <row r="933" spans="1:29">
      <c r="A933" t="s">
        <v>782</v>
      </c>
      <c r="B933">
        <v>555</v>
      </c>
      <c r="C933" s="2">
        <v>1070</v>
      </c>
    </row>
    <row r="934" spans="1:29">
      <c r="A934" t="s">
        <v>784</v>
      </c>
      <c r="B934" s="2">
        <v>993290</v>
      </c>
      <c r="C934" s="2">
        <v>904723</v>
      </c>
    </row>
    <row r="935" spans="1:29">
      <c r="A935" t="s">
        <v>787</v>
      </c>
      <c r="B935" s="2">
        <v>26338</v>
      </c>
      <c r="C935" s="2">
        <v>14951</v>
      </c>
    </row>
    <row r="936" spans="1:29">
      <c r="A936" t="s">
        <v>1110</v>
      </c>
      <c r="B936" s="2">
        <v>112972</v>
      </c>
      <c r="C936" s="2">
        <v>108861</v>
      </c>
    </row>
    <row r="937" spans="1:29">
      <c r="A937" t="s">
        <v>791</v>
      </c>
    </row>
    <row r="938" spans="1:29">
      <c r="A938" t="s">
        <v>1119</v>
      </c>
      <c r="B938">
        <v>168</v>
      </c>
      <c r="C938">
        <v>73</v>
      </c>
    </row>
    <row r="939" spans="1:29">
      <c r="A939" t="s">
        <v>794</v>
      </c>
    </row>
    <row r="940" spans="1:29">
      <c r="A940" t="s">
        <v>795</v>
      </c>
      <c r="B940" s="2">
        <v>45605</v>
      </c>
      <c r="C940" s="2">
        <v>44356</v>
      </c>
    </row>
    <row r="941" spans="1:29">
      <c r="A941" t="s">
        <v>1111</v>
      </c>
      <c r="B941">
        <v>899</v>
      </c>
      <c r="C941">
        <v>367</v>
      </c>
    </row>
    <row r="942" spans="1:29">
      <c r="A942" t="s">
        <v>1120</v>
      </c>
      <c r="B942" s="2">
        <v>13475</v>
      </c>
      <c r="C942" s="2">
        <v>12801</v>
      </c>
    </row>
    <row r="943" spans="1:29">
      <c r="A943" t="s">
        <v>798</v>
      </c>
    </row>
    <row r="944" spans="1:29">
      <c r="A944" t="s">
        <v>1112</v>
      </c>
      <c r="B944" s="2">
        <v>60147</v>
      </c>
      <c r="C944" s="2">
        <v>57597</v>
      </c>
    </row>
    <row r="945" spans="1:29">
      <c r="A945" t="s">
        <v>801</v>
      </c>
      <c r="B945" s="2">
        <v>79163</v>
      </c>
      <c r="C945" s="2">
        <v>66215</v>
      </c>
    </row>
    <row r="946" spans="1:29">
      <c r="A946" t="s">
        <v>802</v>
      </c>
      <c r="B946">
        <v>158</v>
      </c>
      <c r="C946" s="2">
        <v>5310</v>
      </c>
    </row>
    <row r="947" spans="1:29">
      <c r="A947" t="s">
        <v>804</v>
      </c>
      <c r="B947" s="2">
        <v>79321</v>
      </c>
      <c r="C947" s="2">
        <v>71525</v>
      </c>
    </row>
    <row r="948" spans="1:29">
      <c r="A948" t="s">
        <v>805</v>
      </c>
      <c r="B948" s="2">
        <v>3834</v>
      </c>
      <c r="C948" s="2">
        <v>10696</v>
      </c>
    </row>
    <row r="949" spans="1:29">
      <c r="A949" t="s">
        <v>1113</v>
      </c>
      <c r="B949" s="2">
        <v>83155</v>
      </c>
      <c r="C949" s="2">
        <v>82221</v>
      </c>
    </row>
    <row r="950" spans="1:29">
      <c r="A950" t="s">
        <v>808</v>
      </c>
      <c r="B950" s="2">
        <v>52195</v>
      </c>
      <c r="C950" s="2">
        <v>-17092</v>
      </c>
    </row>
    <row r="951" spans="1:29">
      <c r="A951" t="s">
        <v>1114</v>
      </c>
      <c r="B951" s="2">
        <v>135350</v>
      </c>
      <c r="C951" s="2">
        <v>65129</v>
      </c>
    </row>
    <row r="955" spans="1:29">
      <c r="A955" t="s">
        <v>1136</v>
      </c>
    </row>
    <row r="956" spans="1:29">
      <c r="A956" t="s">
        <v>830</v>
      </c>
      <c r="B956" t="s">
        <v>900</v>
      </c>
      <c r="C956" t="s">
        <v>901</v>
      </c>
    </row>
    <row r="957" spans="1:29">
      <c r="A957" t="s">
        <v>903</v>
      </c>
    </row>
    <row r="958" spans="1:29">
      <c r="A958" t="s">
        <v>906</v>
      </c>
    </row>
    <row r="959" spans="1:29">
      <c r="A959" t="s">
        <v>744</v>
      </c>
    </row>
    <row r="960" spans="1:29">
      <c r="A960" t="s">
        <v>747</v>
      </c>
      <c r="B960" s="2">
        <v>2413428</v>
      </c>
      <c r="C960" s="2">
        <v>2395055</v>
      </c>
    </row>
    <row r="961" spans="1:29">
      <c r="A961" t="s">
        <v>910</v>
      </c>
      <c r="B961" s="2">
        <v>2413428</v>
      </c>
      <c r="C961" s="2">
        <v>2395055</v>
      </c>
    </row>
    <row r="962" spans="1:29">
      <c r="A962" t="s">
        <v>750</v>
      </c>
      <c r="B962" s="2">
        <v>-358710</v>
      </c>
      <c r="C962" s="2">
        <v>-341604</v>
      </c>
    </row>
    <row r="963" spans="1:29">
      <c r="A963" t="s">
        <v>1137</v>
      </c>
      <c r="B963" s="2">
        <v>2054718</v>
      </c>
      <c r="C963" s="2">
        <v>2053451</v>
      </c>
    </row>
    <row r="964" spans="1:29">
      <c r="A964" t="s">
        <v>1138</v>
      </c>
    </row>
    <row r="965" spans="1:29">
      <c r="A965" t="s">
        <v>754</v>
      </c>
      <c r="B965" s="2">
        <v>-940595</v>
      </c>
      <c r="C965" s="2">
        <v>-965285</v>
      </c>
    </row>
    <row r="966" spans="1:29">
      <c r="A966" t="s">
        <v>756</v>
      </c>
      <c r="B966" s="2">
        <v>103701</v>
      </c>
      <c r="C966" s="2">
        <v>90084</v>
      </c>
    </row>
    <row r="967" spans="1:29">
      <c r="A967" t="s">
        <v>1139</v>
      </c>
      <c r="B967" s="2">
        <v>-836894</v>
      </c>
      <c r="C967" s="2">
        <v>-875201</v>
      </c>
    </row>
    <row r="968" spans="1:29">
      <c r="A968" t="s">
        <v>1140</v>
      </c>
      <c r="B968" s="2">
        <v>1217824</v>
      </c>
      <c r="C968" s="2">
        <v>1178250</v>
      </c>
    </row>
    <row r="969" spans="1:29">
      <c r="A969" t="s">
        <v>1141</v>
      </c>
    </row>
    <row r="970" spans="1:29">
      <c r="A970" t="s">
        <v>761</v>
      </c>
      <c r="B970" s="2">
        <v>65425</v>
      </c>
      <c r="C970">
        <v>-465</v>
      </c>
    </row>
    <row r="971" spans="1:29">
      <c r="A971" t="s">
        <v>762</v>
      </c>
      <c r="B971" s="2">
        <v>-70331</v>
      </c>
      <c r="C971" s="2">
        <v>-71988</v>
      </c>
    </row>
    <row r="972" spans="1:29">
      <c r="A972" t="s">
        <v>943</v>
      </c>
    </row>
    <row r="973" spans="1:29">
      <c r="A973" t="s">
        <v>1142</v>
      </c>
      <c r="B973" s="2">
        <v>-4906</v>
      </c>
      <c r="C973" s="2">
        <v>-72453</v>
      </c>
    </row>
    <row r="974" spans="1:29">
      <c r="A974" t="s">
        <v>1143</v>
      </c>
      <c r="B974" s="2">
        <v>1212918</v>
      </c>
      <c r="C974" s="2">
        <v>1105797</v>
      </c>
    </row>
    <row r="975" spans="1:29">
      <c r="A975" t="s">
        <v>1144</v>
      </c>
    </row>
    <row r="976" spans="1:29">
      <c r="A976" t="s">
        <v>1145</v>
      </c>
      <c r="B976" s="2">
        <v>1212918</v>
      </c>
      <c r="C976" s="2">
        <v>1105797</v>
      </c>
    </row>
    <row r="977" spans="1:29">
      <c r="A977" t="s">
        <v>1075</v>
      </c>
    </row>
    <row r="978" spans="1:29">
      <c r="A978" t="s">
        <v>1126</v>
      </c>
    </row>
    <row r="979" spans="1:29">
      <c r="A979" t="s">
        <v>774</v>
      </c>
      <c r="B979" s="2">
        <v>1631815</v>
      </c>
      <c r="C979" s="2">
        <v>1444224</v>
      </c>
    </row>
    <row r="980" spans="1:29">
      <c r="A980" t="s">
        <v>776</v>
      </c>
      <c r="B980" s="2">
        <v>-720867</v>
      </c>
      <c r="C980" s="2">
        <v>-544801</v>
      </c>
    </row>
    <row r="981" spans="1:29">
      <c r="A981" t="s">
        <v>778</v>
      </c>
      <c r="B981" s="2">
        <v>278021</v>
      </c>
      <c r="C981" s="2">
        <v>187460</v>
      </c>
    </row>
    <row r="982" spans="1:29">
      <c r="A982" t="s">
        <v>1146</v>
      </c>
      <c r="B982" s="2">
        <v>1188969</v>
      </c>
      <c r="C982" s="2">
        <v>1086883</v>
      </c>
    </row>
    <row r="983" spans="1:29">
      <c r="A983" t="s">
        <v>1127</v>
      </c>
      <c r="B983">
        <v>589</v>
      </c>
      <c r="C983" s="2">
        <v>1126</v>
      </c>
    </row>
    <row r="984" spans="1:29">
      <c r="A984" t="s">
        <v>1147</v>
      </c>
      <c r="B984" s="2">
        <v>1189558</v>
      </c>
      <c r="C984" s="2">
        <v>1088009</v>
      </c>
    </row>
    <row r="985" spans="1:29">
      <c r="A985" t="s">
        <v>1128</v>
      </c>
      <c r="B985" s="2">
        <v>23360</v>
      </c>
      <c r="C985" s="2">
        <v>17788</v>
      </c>
    </row>
    <row r="986" spans="1:29">
      <c r="A986" t="s">
        <v>947</v>
      </c>
      <c r="B986" s="2">
        <v>131443</v>
      </c>
      <c r="C986" s="2">
        <v>95459</v>
      </c>
    </row>
    <row r="987" spans="1:29">
      <c r="A987" t="s">
        <v>948</v>
      </c>
    </row>
    <row r="988" spans="1:29">
      <c r="A988" t="s">
        <v>792</v>
      </c>
      <c r="B988">
        <v>172</v>
      </c>
      <c r="C988">
        <v>73</v>
      </c>
    </row>
    <row r="989" spans="1:29">
      <c r="A989" t="s">
        <v>794</v>
      </c>
    </row>
    <row r="990" spans="1:29">
      <c r="A990" t="s">
        <v>795</v>
      </c>
      <c r="B990" s="2">
        <v>51265</v>
      </c>
      <c r="C990" s="2">
        <v>49762</v>
      </c>
    </row>
    <row r="991" spans="1:29">
      <c r="A991" t="s">
        <v>796</v>
      </c>
      <c r="B991" s="2">
        <v>1035</v>
      </c>
      <c r="C991">
        <v>467</v>
      </c>
    </row>
    <row r="992" spans="1:29">
      <c r="A992" t="s">
        <v>949</v>
      </c>
      <c r="B992" s="2">
        <v>15000</v>
      </c>
      <c r="C992" s="2">
        <v>14616</v>
      </c>
    </row>
    <row r="993" spans="1:29">
      <c r="A993" t="s">
        <v>798</v>
      </c>
    </row>
    <row r="994" spans="1:29">
      <c r="A994" t="s">
        <v>950</v>
      </c>
      <c r="B994" s="2">
        <v>67472</v>
      </c>
      <c r="C994" s="2">
        <v>64918</v>
      </c>
    </row>
    <row r="995" spans="1:29">
      <c r="A995" t="s">
        <v>951</v>
      </c>
      <c r="B995" s="2">
        <v>87331</v>
      </c>
      <c r="C995" s="2">
        <v>48329</v>
      </c>
    </row>
    <row r="996" spans="1:29">
      <c r="A996" t="s">
        <v>952</v>
      </c>
      <c r="B996">
        <v>-257</v>
      </c>
      <c r="C996" s="2">
        <v>3576</v>
      </c>
    </row>
    <row r="997" spans="1:29">
      <c r="A997" t="s">
        <v>953</v>
      </c>
      <c r="B997" s="2">
        <v>87074</v>
      </c>
      <c r="C997" s="2">
        <v>51905</v>
      </c>
    </row>
    <row r="998" spans="1:29">
      <c r="A998" t="s">
        <v>954</v>
      </c>
      <c r="B998" s="2">
        <v>5812</v>
      </c>
      <c r="C998" s="2">
        <v>17902</v>
      </c>
    </row>
    <row r="999" spans="1:29">
      <c r="A999" t="s">
        <v>955</v>
      </c>
      <c r="B999" s="2">
        <v>92886</v>
      </c>
      <c r="C999" s="2">
        <v>69807</v>
      </c>
    </row>
    <row r="1000" spans="1:29">
      <c r="A1000" t="s">
        <v>956</v>
      </c>
      <c r="B1000" s="2">
        <v>74021</v>
      </c>
      <c r="C1000" s="2">
        <v>8454</v>
      </c>
    </row>
    <row r="1001" spans="1:29">
      <c r="A1001" t="s">
        <v>957</v>
      </c>
      <c r="B1001" s="2">
        <v>166907</v>
      </c>
      <c r="C1001" s="2">
        <v>78261</v>
      </c>
    </row>
    <row r="1005" spans="1:29">
      <c r="A1005" t="s">
        <v>1148</v>
      </c>
    </row>
    <row r="1006" spans="1:29">
      <c r="A1006" t="s">
        <v>830</v>
      </c>
      <c r="B1006" t="s">
        <v>900</v>
      </c>
      <c r="C1006" t="s">
        <v>901</v>
      </c>
    </row>
    <row r="1007" spans="1:29">
      <c r="A1007" t="s">
        <v>903</v>
      </c>
    </row>
    <row r="1008" spans="1:29">
      <c r="A1008" t="s">
        <v>906</v>
      </c>
    </row>
    <row r="1009" spans="1:29">
      <c r="A1009" t="s">
        <v>744</v>
      </c>
    </row>
    <row r="1010" spans="1:29">
      <c r="A1010" t="s">
        <v>747</v>
      </c>
      <c r="B1010">
        <v>272282</v>
      </c>
      <c r="C1010">
        <v>249214</v>
      </c>
    </row>
    <row r="1011" spans="1:29">
      <c r="A1011" t="s">
        <v>910</v>
      </c>
      <c r="B1011">
        <v>272282</v>
      </c>
      <c r="C1011">
        <v>249214</v>
      </c>
    </row>
    <row r="1012" spans="1:29">
      <c r="A1012" t="s">
        <v>750</v>
      </c>
      <c r="B1012">
        <v>93873</v>
      </c>
      <c r="C1012">
        <v>86591</v>
      </c>
    </row>
    <row r="1013" spans="1:29">
      <c r="A1013" t="s">
        <v>913</v>
      </c>
      <c r="B1013">
        <v>178409</v>
      </c>
      <c r="C1013">
        <v>162622</v>
      </c>
    </row>
    <row r="1014" spans="1:29">
      <c r="A1014" t="s">
        <v>915</v>
      </c>
    </row>
    <row r="1015" spans="1:29">
      <c r="A1015" t="s">
        <v>1105</v>
      </c>
      <c r="B1015">
        <v>-997377</v>
      </c>
      <c r="C1015">
        <v>-1076326</v>
      </c>
    </row>
    <row r="1016" spans="1:29">
      <c r="A1016" t="s">
        <v>1106</v>
      </c>
      <c r="B1016">
        <v>111096</v>
      </c>
      <c r="C1016">
        <v>97104</v>
      </c>
    </row>
    <row r="1017" spans="1:29">
      <c r="A1017" t="s">
        <v>757</v>
      </c>
      <c r="B1017">
        <v>-886281</v>
      </c>
      <c r="C1017">
        <v>-979222</v>
      </c>
    </row>
    <row r="1018" spans="1:29">
      <c r="A1018" t="s">
        <v>1107</v>
      </c>
      <c r="B1018">
        <v>1481848</v>
      </c>
      <c r="C1018">
        <v>1373589</v>
      </c>
    </row>
    <row r="1019" spans="1:29">
      <c r="A1019" t="s">
        <v>1149</v>
      </c>
    </row>
    <row r="1020" spans="1:29">
      <c r="A1020" t="s">
        <v>1150</v>
      </c>
    </row>
    <row r="1021" spans="1:29">
      <c r="A1021" t="s">
        <v>1118</v>
      </c>
      <c r="B1021">
        <v>63388</v>
      </c>
      <c r="C1021">
        <v>3752</v>
      </c>
    </row>
    <row r="1022" spans="1:29">
      <c r="A1022" t="s">
        <v>762</v>
      </c>
      <c r="B1022">
        <v>-139293</v>
      </c>
      <c r="C1022">
        <v>-95221</v>
      </c>
    </row>
    <row r="1023" spans="1:29">
      <c r="A1023" t="s">
        <v>943</v>
      </c>
      <c r="B1023">
        <v>-75905</v>
      </c>
      <c r="C1023">
        <v>-91469</v>
      </c>
    </row>
    <row r="1024" spans="1:29">
      <c r="A1024" t="s">
        <v>764</v>
      </c>
    </row>
    <row r="1025" spans="1:29">
      <c r="A1025" t="s">
        <v>1143</v>
      </c>
      <c r="B1025">
        <v>1405943</v>
      </c>
      <c r="C1025">
        <v>1282120</v>
      </c>
    </row>
    <row r="1026" spans="1:29">
      <c r="A1026" t="s">
        <v>1144</v>
      </c>
    </row>
    <row r="1027" spans="1:29">
      <c r="A1027" t="s">
        <v>1145</v>
      </c>
      <c r="B1027">
        <v>1405943</v>
      </c>
      <c r="C1027">
        <v>1282120</v>
      </c>
    </row>
    <row r="1030" spans="1:29">
      <c r="A1030" t="s">
        <v>1151</v>
      </c>
    </row>
    <row r="1031" spans="1:29">
      <c r="A1031" t="s">
        <v>830</v>
      </c>
      <c r="B1031" t="s">
        <v>1152</v>
      </c>
      <c r="C1031" t="s">
        <v>1153</v>
      </c>
    </row>
    <row r="1032" spans="1:29">
      <c r="A1032" t="s">
        <v>903</v>
      </c>
    </row>
    <row r="1033" spans="1:29">
      <c r="A1033" t="s">
        <v>906</v>
      </c>
    </row>
    <row r="1034" spans="1:29">
      <c r="A1034" t="s">
        <v>744</v>
      </c>
      <c r="B1034">
        <v>1.827</v>
      </c>
      <c r="C1034">
        <v>141</v>
      </c>
    </row>
    <row r="1035" spans="1:29">
      <c r="A1035" t="s">
        <v>747</v>
      </c>
      <c r="B1035">
        <v>22.487</v>
      </c>
      <c r="C1035">
        <v>19.802</v>
      </c>
    </row>
    <row r="1036" spans="1:29">
      <c r="A1036" t="s">
        <v>910</v>
      </c>
      <c r="B1036">
        <v>376.884</v>
      </c>
      <c r="C1036">
        <v>353.993</v>
      </c>
    </row>
    <row r="1037" spans="1:29">
      <c r="A1037" t="s">
        <v>750</v>
      </c>
      <c r="B1037">
        <v>-459.715</v>
      </c>
      <c r="C1037">
        <v>-447.881</v>
      </c>
    </row>
    <row r="1038" spans="1:29">
      <c r="A1038" t="s">
        <v>913</v>
      </c>
      <c r="B1038" t="s">
        <v>1154</v>
      </c>
      <c r="C1038" t="s">
        <v>1155</v>
      </c>
    </row>
    <row r="1039" spans="1:29">
      <c r="A1039" t="s">
        <v>915</v>
      </c>
    </row>
    <row r="1040" spans="1:29">
      <c r="A1040" t="s">
        <v>1105</v>
      </c>
      <c r="B1040" t="s">
        <v>1156</v>
      </c>
      <c r="C1040" t="s">
        <v>1157</v>
      </c>
    </row>
    <row r="1041" spans="1:29">
      <c r="A1041" t="s">
        <v>1106</v>
      </c>
      <c r="B1041">
        <v>118.308</v>
      </c>
      <c r="C1041">
        <v>104.624</v>
      </c>
    </row>
    <row r="1042" spans="1:29">
      <c r="A1042" t="s">
        <v>757</v>
      </c>
      <c r="B1042" t="s">
        <v>1158</v>
      </c>
      <c r="C1042" t="s">
        <v>1159</v>
      </c>
    </row>
    <row r="1043" spans="1:29">
      <c r="A1043" t="s">
        <v>1107</v>
      </c>
      <c r="B1043" t="s">
        <v>1160</v>
      </c>
      <c r="C1043" t="s">
        <v>1161</v>
      </c>
    </row>
    <row r="1044" spans="1:29">
      <c r="A1044" t="s">
        <v>1149</v>
      </c>
    </row>
    <row r="1045" spans="1:29">
      <c r="A1045" t="s">
        <v>1150</v>
      </c>
    </row>
    <row r="1046" spans="1:29">
      <c r="A1046" t="s">
        <v>1118</v>
      </c>
      <c r="B1046">
        <v>76.054</v>
      </c>
      <c r="C1046">
        <v>-46.093</v>
      </c>
    </row>
    <row r="1047" spans="1:29">
      <c r="A1047" t="s">
        <v>762</v>
      </c>
      <c r="B1047">
        <v>-118.934</v>
      </c>
      <c r="C1047">
        <v>-38.654</v>
      </c>
    </row>
    <row r="1048" spans="1:29">
      <c r="A1048" t="s">
        <v>943</v>
      </c>
      <c r="B1048">
        <v>-42.88</v>
      </c>
      <c r="C1048">
        <v>-84.747</v>
      </c>
    </row>
    <row r="1049" spans="1:29">
      <c r="A1049" t="s">
        <v>764</v>
      </c>
    </row>
    <row r="1050" spans="1:29">
      <c r="A1050" t="s">
        <v>1143</v>
      </c>
      <c r="B1050" t="s">
        <v>1162</v>
      </c>
      <c r="C1050" t="s">
        <v>1163</v>
      </c>
    </row>
    <row r="1051" spans="1:29">
      <c r="A1051" t="s">
        <v>1144</v>
      </c>
    </row>
    <row r="1052" spans="1:29">
      <c r="A1052" t="s">
        <v>1145</v>
      </c>
      <c r="B1052" t="s">
        <v>1162</v>
      </c>
      <c r="C1052" t="s">
        <v>1163</v>
      </c>
    </row>
    <row r="1053" spans="1:29">
      <c r="A1053" t="s">
        <v>1075</v>
      </c>
    </row>
    <row r="1054" spans="1:29">
      <c r="A1054" t="s">
        <v>1126</v>
      </c>
    </row>
    <row r="1055" spans="1:29">
      <c r="A1055" t="s">
        <v>774</v>
      </c>
      <c r="B1055" t="s">
        <v>1164</v>
      </c>
      <c r="C1055" t="s">
        <v>1165</v>
      </c>
    </row>
    <row r="1056" spans="1:29">
      <c r="A1056" t="s">
        <v>776</v>
      </c>
      <c r="B1056">
        <v>-863.106</v>
      </c>
      <c r="C1056">
        <v>-740.411</v>
      </c>
    </row>
    <row r="1057" spans="1:29">
      <c r="A1057" t="s">
        <v>778</v>
      </c>
      <c r="B1057">
        <v>330.132</v>
      </c>
      <c r="C1057">
        <v>236.595</v>
      </c>
    </row>
    <row r="1058" spans="1:29">
      <c r="A1058" t="s">
        <v>1146</v>
      </c>
      <c r="B1058" t="s">
        <v>1166</v>
      </c>
      <c r="C1058" t="s">
        <v>1167</v>
      </c>
    </row>
    <row r="1059" spans="1:29">
      <c r="A1059" t="s">
        <v>1127</v>
      </c>
      <c r="B1059">
        <v>712</v>
      </c>
      <c r="C1059">
        <v>1.306</v>
      </c>
    </row>
    <row r="1060" spans="1:29">
      <c r="A1060" t="s">
        <v>1147</v>
      </c>
      <c r="B1060" t="s">
        <v>1168</v>
      </c>
      <c r="C1060" t="s">
        <v>1169</v>
      </c>
    </row>
    <row r="1061" spans="1:29">
      <c r="A1061" t="s">
        <v>1128</v>
      </c>
      <c r="B1061">
        <v>-2.858</v>
      </c>
      <c r="C1061">
        <v>8.939</v>
      </c>
    </row>
    <row r="1062" spans="1:29">
      <c r="A1062" t="s">
        <v>947</v>
      </c>
      <c r="B1062">
        <v>169.849</v>
      </c>
      <c r="C1062">
        <v>126.944</v>
      </c>
    </row>
    <row r="1063" spans="1:29">
      <c r="A1063" t="s">
        <v>948</v>
      </c>
    </row>
    <row r="1064" spans="1:29">
      <c r="A1064" t="s">
        <v>792</v>
      </c>
      <c r="B1064">
        <v>196</v>
      </c>
      <c r="C1064">
        <v>88</v>
      </c>
    </row>
    <row r="1065" spans="1:29">
      <c r="A1065" t="s">
        <v>794</v>
      </c>
    </row>
    <row r="1066" spans="1:29">
      <c r="A1066" t="s">
        <v>795</v>
      </c>
      <c r="B1066">
        <v>61.724</v>
      </c>
      <c r="C1066">
        <v>58.254</v>
      </c>
    </row>
    <row r="1067" spans="1:29">
      <c r="A1067" t="s">
        <v>796</v>
      </c>
      <c r="B1067">
        <v>1.761</v>
      </c>
      <c r="C1067">
        <v>556</v>
      </c>
    </row>
    <row r="1068" spans="1:29">
      <c r="A1068" t="s">
        <v>949</v>
      </c>
      <c r="B1068">
        <v>18.667</v>
      </c>
      <c r="C1068">
        <v>18.435</v>
      </c>
    </row>
    <row r="1069" spans="1:29">
      <c r="A1069" t="s">
        <v>798</v>
      </c>
    </row>
    <row r="1070" spans="1:29">
      <c r="A1070" t="s">
        <v>1112</v>
      </c>
      <c r="B1070">
        <v>82.348</v>
      </c>
      <c r="C1070">
        <v>77.333</v>
      </c>
    </row>
    <row r="1071" spans="1:29">
      <c r="A1071" t="s">
        <v>951</v>
      </c>
      <c r="B1071">
        <v>84.643</v>
      </c>
      <c r="C1071">
        <v>58.55</v>
      </c>
    </row>
    <row r="1072" spans="1:29">
      <c r="A1072" t="s">
        <v>952</v>
      </c>
      <c r="B1072">
        <v>949</v>
      </c>
      <c r="C1072">
        <v>2.751</v>
      </c>
    </row>
    <row r="1073" spans="1:29">
      <c r="A1073" t="s">
        <v>953</v>
      </c>
      <c r="B1073">
        <v>85.592</v>
      </c>
      <c r="C1073">
        <v>61.301</v>
      </c>
    </row>
    <row r="1074" spans="1:29">
      <c r="A1074" t="s">
        <v>954</v>
      </c>
      <c r="B1074">
        <v>20.69</v>
      </c>
      <c r="C1074">
        <v>10.984</v>
      </c>
    </row>
    <row r="1075" spans="1:29">
      <c r="A1075" t="s">
        <v>955</v>
      </c>
      <c r="B1075">
        <v>106.282</v>
      </c>
      <c r="C1075">
        <v>72.285</v>
      </c>
    </row>
    <row r="1076" spans="1:29">
      <c r="A1076" t="s">
        <v>956</v>
      </c>
      <c r="B1076">
        <v>117.845</v>
      </c>
      <c r="C1076">
        <v>-10.329</v>
      </c>
    </row>
    <row r="1077" spans="1:29">
      <c r="A1077" t="s">
        <v>957</v>
      </c>
      <c r="B1077">
        <v>224.127</v>
      </c>
      <c r="C1077">
        <v>61.956</v>
      </c>
    </row>
    <row r="1080" spans="1:29">
      <c r="A1080" t="s">
        <v>1170</v>
      </c>
    </row>
    <row r="1081" spans="1:29">
      <c r="A1081" t="s">
        <v>830</v>
      </c>
      <c r="B1081" t="s">
        <v>900</v>
      </c>
      <c r="C1081" t="s">
        <v>901</v>
      </c>
    </row>
    <row r="1082" spans="1:29">
      <c r="A1082" t="s">
        <v>903</v>
      </c>
    </row>
    <row r="1083" spans="1:29">
      <c r="A1083" t="s">
        <v>906</v>
      </c>
    </row>
    <row r="1084" spans="1:29">
      <c r="A1084" t="s">
        <v>744</v>
      </c>
      <c r="B1084" s="2">
        <v>168718</v>
      </c>
      <c r="C1084" s="2">
        <v>75964</v>
      </c>
    </row>
    <row r="1085" spans="1:29">
      <c r="A1085" t="s">
        <v>747</v>
      </c>
      <c r="B1085" s="2">
        <v>345018</v>
      </c>
      <c r="C1085" s="2">
        <v>257916</v>
      </c>
    </row>
    <row r="1086" spans="1:29">
      <c r="A1086" t="s">
        <v>910</v>
      </c>
      <c r="B1086" s="2">
        <v>1325</v>
      </c>
      <c r="C1086">
        <v>170</v>
      </c>
    </row>
    <row r="1087" spans="1:29">
      <c r="A1087" t="s">
        <v>750</v>
      </c>
      <c r="B1087" s="2">
        <v>3111</v>
      </c>
      <c r="C1087">
        <v>141</v>
      </c>
    </row>
    <row r="1088" spans="1:29">
      <c r="A1088" t="s">
        <v>913</v>
      </c>
      <c r="B1088" s="2">
        <v>20487</v>
      </c>
      <c r="C1088" s="2">
        <v>19802</v>
      </c>
    </row>
    <row r="1089" spans="1:29">
      <c r="A1089" t="s">
        <v>915</v>
      </c>
    </row>
    <row r="1090" spans="1:29">
      <c r="A1090" t="s">
        <v>754</v>
      </c>
      <c r="B1090" s="2">
        <v>538659</v>
      </c>
      <c r="C1090" s="2">
        <v>353993</v>
      </c>
    </row>
    <row r="1091" spans="1:29">
      <c r="A1091" t="s">
        <v>756</v>
      </c>
      <c r="B1091" s="2">
        <v>3597896</v>
      </c>
      <c r="C1091" s="2">
        <v>3510355</v>
      </c>
    </row>
    <row r="1092" spans="1:29">
      <c r="A1092" t="s">
        <v>919</v>
      </c>
      <c r="B1092" s="2">
        <v>3597896</v>
      </c>
      <c r="C1092" s="2">
        <v>3510355</v>
      </c>
    </row>
    <row r="1093" spans="1:29">
      <c r="A1093" t="s">
        <v>921</v>
      </c>
      <c r="B1093" s="2">
        <v>-519842</v>
      </c>
      <c r="C1093" s="2">
        <v>-485187</v>
      </c>
    </row>
    <row r="1094" spans="1:29">
      <c r="A1094" t="s">
        <v>942</v>
      </c>
      <c r="B1094" s="2">
        <v>3078055</v>
      </c>
      <c r="C1094" s="2">
        <v>3025168</v>
      </c>
    </row>
    <row r="1095" spans="1:29">
      <c r="A1095" t="s">
        <v>761</v>
      </c>
      <c r="B1095" s="2">
        <v>-1324950</v>
      </c>
      <c r="C1095" s="2">
        <v>-1386600</v>
      </c>
    </row>
    <row r="1096" spans="1:29">
      <c r="A1096" t="s">
        <v>762</v>
      </c>
      <c r="B1096" s="2">
        <v>123778</v>
      </c>
      <c r="C1096" s="2">
        <v>114174</v>
      </c>
    </row>
    <row r="1097" spans="1:29">
      <c r="A1097" t="s">
        <v>943</v>
      </c>
      <c r="B1097" s="2">
        <v>-1201172</v>
      </c>
      <c r="C1097" s="2">
        <v>-1272426</v>
      </c>
    </row>
    <row r="1098" spans="1:29">
      <c r="A1098" t="s">
        <v>930</v>
      </c>
      <c r="B1098" s="2">
        <v>1876883</v>
      </c>
      <c r="C1098" s="2">
        <v>1752742</v>
      </c>
    </row>
    <row r="1099" spans="1:29">
      <c r="A1099" t="s">
        <v>932</v>
      </c>
      <c r="B1099" s="2">
        <v>390211</v>
      </c>
      <c r="C1099" s="2">
        <v>722989</v>
      </c>
    </row>
    <row r="1100" spans="1:29">
      <c r="A1100" t="s">
        <v>933</v>
      </c>
      <c r="B1100" s="2">
        <v>292475</v>
      </c>
      <c r="C1100" s="2">
        <v>-112845</v>
      </c>
    </row>
    <row r="1101" spans="1:29">
      <c r="A1101" t="s">
        <v>934</v>
      </c>
      <c r="B1101" s="2">
        <v>410656</v>
      </c>
      <c r="C1101" s="2">
        <v>287073</v>
      </c>
    </row>
    <row r="1102" spans="1:29">
      <c r="A1102" t="s">
        <v>1075</v>
      </c>
    </row>
    <row r="1103" spans="1:29">
      <c r="A1103" t="s">
        <v>1076</v>
      </c>
    </row>
    <row r="1104" spans="1:29">
      <c r="A1104" t="s">
        <v>774</v>
      </c>
      <c r="B1104" s="2">
        <v>2515787</v>
      </c>
      <c r="C1104" s="2">
        <v>2406014</v>
      </c>
    </row>
    <row r="1105" spans="1:29">
      <c r="A1105" t="s">
        <v>776</v>
      </c>
      <c r="B1105" s="2">
        <v>-929452</v>
      </c>
      <c r="C1105" s="2">
        <v>-937179</v>
      </c>
    </row>
    <row r="1106" spans="1:29">
      <c r="A1106" t="s">
        <v>778</v>
      </c>
      <c r="B1106" s="2">
        <v>550641</v>
      </c>
      <c r="C1106" s="2">
        <v>200792</v>
      </c>
    </row>
    <row r="1107" spans="1:29">
      <c r="A1107" t="s">
        <v>1077</v>
      </c>
      <c r="B1107" s="2">
        <v>2136977</v>
      </c>
      <c r="C1107" s="2">
        <v>1669627</v>
      </c>
    </row>
    <row r="1108" spans="1:29">
      <c r="A1108" t="s">
        <v>1078</v>
      </c>
      <c r="B1108">
        <v>871</v>
      </c>
      <c r="C1108" s="2">
        <v>1631</v>
      </c>
    </row>
    <row r="1109" spans="1:29">
      <c r="A1109" t="s">
        <v>1079</v>
      </c>
      <c r="B1109" s="2">
        <v>2137848</v>
      </c>
      <c r="C1109" s="2">
        <v>1671258</v>
      </c>
    </row>
    <row r="1110" spans="1:29">
      <c r="A1110" t="s">
        <v>1080</v>
      </c>
      <c r="B1110" s="2">
        <v>-54285</v>
      </c>
      <c r="C1110" s="2">
        <v>-25653</v>
      </c>
    </row>
    <row r="1111" spans="1:29">
      <c r="A1111" t="s">
        <v>1130</v>
      </c>
      <c r="B1111" s="2">
        <v>186536</v>
      </c>
      <c r="C1111" s="2">
        <v>159750</v>
      </c>
    </row>
    <row r="1112" spans="1:29">
      <c r="A1112" t="s">
        <v>1082</v>
      </c>
    </row>
    <row r="1113" spans="1:29">
      <c r="A1113" t="s">
        <v>792</v>
      </c>
      <c r="B1113">
        <v>213</v>
      </c>
      <c r="C1113">
        <v>73</v>
      </c>
    </row>
    <row r="1114" spans="1:29">
      <c r="A1114" t="s">
        <v>794</v>
      </c>
    </row>
    <row r="1115" spans="1:29">
      <c r="A1115" t="s">
        <v>795</v>
      </c>
      <c r="B1115" s="2">
        <v>64018</v>
      </c>
      <c r="C1115" s="2">
        <v>70096</v>
      </c>
    </row>
    <row r="1116" spans="1:29">
      <c r="A1116" t="s">
        <v>796</v>
      </c>
      <c r="B1116" s="2">
        <v>2505</v>
      </c>
      <c r="C1116">
        <v>674</v>
      </c>
    </row>
    <row r="1117" spans="1:29">
      <c r="A1117" t="s">
        <v>949</v>
      </c>
      <c r="B1117" s="2">
        <v>27297</v>
      </c>
      <c r="C1117" s="2">
        <v>25915</v>
      </c>
    </row>
    <row r="1118" spans="1:29">
      <c r="A1118" t="s">
        <v>798</v>
      </c>
    </row>
    <row r="1119" spans="1:29">
      <c r="A1119" t="s">
        <v>1085</v>
      </c>
      <c r="B1119" s="2">
        <v>94034</v>
      </c>
      <c r="C1119" s="2">
        <v>96758</v>
      </c>
    </row>
    <row r="1120" spans="1:29">
      <c r="A1120" t="s">
        <v>1086</v>
      </c>
      <c r="B1120" s="2">
        <v>38218</v>
      </c>
      <c r="C1120" s="2">
        <v>37339</v>
      </c>
    </row>
    <row r="1121" spans="1:29">
      <c r="A1121" t="s">
        <v>1087</v>
      </c>
      <c r="B1121">
        <v>953</v>
      </c>
      <c r="C1121" s="2">
        <v>3287</v>
      </c>
    </row>
    <row r="1122" spans="1:29">
      <c r="A1122" t="s">
        <v>1088</v>
      </c>
      <c r="B1122" s="2">
        <v>39171</v>
      </c>
      <c r="C1122" s="2">
        <v>40626</v>
      </c>
    </row>
    <row r="1123" spans="1:29">
      <c r="A1123" t="s">
        <v>1089</v>
      </c>
      <c r="B1123" s="2">
        <v>-3949</v>
      </c>
      <c r="C1123" s="2">
        <v>10186</v>
      </c>
    </row>
    <row r="1124" spans="1:29">
      <c r="A1124" t="s">
        <v>1131</v>
      </c>
      <c r="B1124" s="2">
        <v>35222</v>
      </c>
      <c r="C1124" s="2">
        <v>50812</v>
      </c>
    </row>
    <row r="1125" spans="1:29">
      <c r="A1125" t="s">
        <v>1091</v>
      </c>
      <c r="B1125" s="2">
        <v>116044</v>
      </c>
      <c r="C1125" s="2">
        <v>-36981</v>
      </c>
    </row>
    <row r="1126" spans="1:29">
      <c r="A1126" t="s">
        <v>1132</v>
      </c>
      <c r="B1126" s="2">
        <v>151266</v>
      </c>
      <c r="C1126" s="2">
        <v>13831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Aset</vt:lpstr>
      <vt:lpstr>Ekuitas</vt:lpstr>
      <vt:lpstr>Premi Bruto</vt:lpstr>
      <vt:lpstr>Hasil Underwriting</vt:lpstr>
      <vt:lpstr>Solvabilitas</vt:lpstr>
      <vt:lpstr>Likuiditas</vt:lpstr>
      <vt:lpstr>Sheet1</vt:lpstr>
      <vt:lpstr>Rincian OJK</vt:lpstr>
      <vt:lpstr>Reas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2026-03-30T21:48:54Z</dcterms:created>
  <dcterms:modified xsi:type="dcterms:W3CDTF">2026-03-30T21:48:54Z</dcterms:modified>
</cp:coreProperties>
</file>